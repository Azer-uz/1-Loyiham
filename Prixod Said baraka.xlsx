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BB7675D-69C3-4375-A382-BE5785A9F1F2}" xr6:coauthVersionLast="47" xr6:coauthVersionMax="47" xr10:uidLastSave="{00000000-0000-0000-0000-000000000000}"/>
  <bookViews>
    <workbookView xWindow="-120" yWindow="-120" windowWidth="20730" windowHeight="11040" xr2:uid="{2566DE35-BB4C-4D9A-962E-06F46E78B621}"/>
  </bookViews>
  <sheets>
    <sheet name="Asosiy" sheetId="2" r:id="rId1"/>
    <sheet name="Tayyor" sheetId="3" r:id="rId2"/>
    <sheet name="Ruyxat" sheetId="1" r:id="rId3"/>
  </sheets>
  <externalReferences>
    <externalReference r:id="rId4"/>
  </externalReferences>
  <definedNames>
    <definedName name="_xlnm._FilterDatabase" localSheetId="2" hidden="1">Ruyxat!$I$1:$L$264</definedName>
    <definedName name="ExternalData_1" localSheetId="1" hidden="1">Tayyor!$A$1:$O$11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Q2" i="3"/>
  <c r="Q3" i="3"/>
  <c r="Q4" i="3"/>
  <c r="Q5" i="3"/>
  <c r="Q6" i="3"/>
  <c r="Q7" i="3"/>
  <c r="Q8" i="3"/>
  <c r="Q9" i="3"/>
  <c r="Q10" i="3"/>
  <c r="Q11" i="3"/>
  <c r="M3" i="2"/>
  <c r="F5" i="2"/>
  <c r="F4" i="2"/>
  <c r="T5" i="2"/>
  <c r="T4" i="2"/>
  <c r="S5" i="2"/>
  <c r="S4" i="2"/>
  <c r="M4" i="2" l="1"/>
  <c r="M5" i="2"/>
  <c r="E6" i="2"/>
  <c r="E5" i="2"/>
  <c r="E4" i="2"/>
  <c r="E3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F6" i="2" l="1"/>
  <c r="M6" i="2"/>
  <c r="R6" i="2"/>
  <c r="E7" i="2"/>
  <c r="F7" i="2"/>
  <c r="M7" i="2"/>
  <c r="R7" i="2"/>
  <c r="A3" i="2"/>
  <c r="S8" i="2"/>
  <c r="S9" i="2"/>
  <c r="S10" i="2"/>
  <c r="R12" i="2"/>
  <c r="T12" i="2" s="1"/>
  <c r="S13" i="2"/>
  <c r="S15" i="2"/>
  <c r="S16" i="2"/>
  <c r="R17" i="2"/>
  <c r="T17" i="2" s="1"/>
  <c r="S19" i="2"/>
  <c r="R20" i="2"/>
  <c r="T20" i="2" s="1"/>
  <c r="S21" i="2"/>
  <c r="S22" i="2"/>
  <c r="R24" i="2"/>
  <c r="T24" i="2" s="1"/>
  <c r="S25" i="2"/>
  <c r="S28" i="2"/>
  <c r="R29" i="2"/>
  <c r="T29" i="2" s="1"/>
  <c r="S30" i="2"/>
  <c r="R31" i="2"/>
  <c r="T31" i="2" s="1"/>
  <c r="I2" i="1"/>
  <c r="M31" i="2"/>
  <c r="F31" i="2"/>
  <c r="A31" i="2" s="1"/>
  <c r="M30" i="2"/>
  <c r="F30" i="2"/>
  <c r="A30" i="2" s="1"/>
  <c r="E30" i="2"/>
  <c r="M29" i="2"/>
  <c r="F29" i="2"/>
  <c r="A29" i="2" s="1"/>
  <c r="E29" i="2"/>
  <c r="M28" i="2"/>
  <c r="F28" i="2"/>
  <c r="A28" i="2" s="1"/>
  <c r="E28" i="2"/>
  <c r="M27" i="2"/>
  <c r="F27" i="2"/>
  <c r="A27" i="2" s="1"/>
  <c r="E27" i="2"/>
  <c r="M26" i="2"/>
  <c r="F26" i="2"/>
  <c r="A26" i="2" s="1"/>
  <c r="E26" i="2"/>
  <c r="M25" i="2"/>
  <c r="F25" i="2"/>
  <c r="A25" i="2" s="1"/>
  <c r="E25" i="2"/>
  <c r="M24" i="2"/>
  <c r="F24" i="2"/>
  <c r="A24" i="2" s="1"/>
  <c r="E24" i="2"/>
  <c r="M23" i="2"/>
  <c r="F23" i="2"/>
  <c r="A23" i="2" s="1"/>
  <c r="E23" i="2"/>
  <c r="M22" i="2"/>
  <c r="F22" i="2"/>
  <c r="A22" i="2" s="1"/>
  <c r="E22" i="2"/>
  <c r="M21" i="2"/>
  <c r="F21" i="2"/>
  <c r="A21" i="2" s="1"/>
  <c r="E21" i="2"/>
  <c r="M20" i="2"/>
  <c r="F20" i="2"/>
  <c r="A20" i="2" s="1"/>
  <c r="E20" i="2"/>
  <c r="M19" i="2"/>
  <c r="F19" i="2"/>
  <c r="A19" i="2" s="1"/>
  <c r="E19" i="2"/>
  <c r="M18" i="2"/>
  <c r="F18" i="2"/>
  <c r="E18" i="2"/>
  <c r="M17" i="2"/>
  <c r="F17" i="2"/>
  <c r="E17" i="2"/>
  <c r="M16" i="2"/>
  <c r="F16" i="2"/>
  <c r="E16" i="2"/>
  <c r="M15" i="2"/>
  <c r="F15" i="2"/>
  <c r="E15" i="2"/>
  <c r="M14" i="2"/>
  <c r="F14" i="2"/>
  <c r="E14" i="2"/>
  <c r="M13" i="2"/>
  <c r="F13" i="2"/>
  <c r="E13" i="2"/>
  <c r="M12" i="2"/>
  <c r="F12" i="2"/>
  <c r="E12" i="2"/>
  <c r="M11" i="2"/>
  <c r="F11" i="2"/>
  <c r="E11" i="2"/>
  <c r="M10" i="2"/>
  <c r="F10" i="2"/>
  <c r="E10" i="2"/>
  <c r="M9" i="2"/>
  <c r="F9" i="2"/>
  <c r="E9" i="2"/>
  <c r="M8" i="2"/>
  <c r="F8" i="2"/>
  <c r="E8" i="2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57" i="1" s="1"/>
  <c r="X58" i="1" s="1"/>
  <c r="X59" i="1" s="1"/>
  <c r="X60" i="1" s="1"/>
  <c r="R10" i="2"/>
  <c r="T10" i="2"/>
  <c r="R22" i="2"/>
  <c r="T22" i="2" s="1"/>
  <c r="S12" i="2"/>
  <c r="S14" i="2"/>
  <c r="S26" i="2"/>
  <c r="R9" i="2"/>
  <c r="T9" i="2" s="1"/>
  <c r="R13" i="2"/>
  <c r="T13" i="2" s="1"/>
  <c r="R25" i="2"/>
  <c r="S23" i="2" l="1"/>
  <c r="R21" i="2"/>
  <c r="T21" i="2" s="1"/>
  <c r="S20" i="2"/>
  <c r="R15" i="2"/>
  <c r="T15" i="2" s="1"/>
  <c r="T25" i="2"/>
  <c r="S17" i="2"/>
  <c r="R28" i="2"/>
  <c r="T28" i="2" s="1"/>
  <c r="S29" i="2"/>
  <c r="S2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R23" i="2"/>
  <c r="T23" i="2" s="1"/>
  <c r="R26" i="2"/>
  <c r="T26" i="2" s="1"/>
  <c r="T6" i="2"/>
  <c r="S6" i="2"/>
  <c r="R19" i="2"/>
  <c r="T19" i="2" s="1"/>
  <c r="T7" i="2"/>
  <c r="S7" i="2"/>
  <c r="R27" i="2"/>
  <c r="T27" i="2" s="1"/>
  <c r="S31" i="2"/>
  <c r="R14" i="2"/>
  <c r="T14" i="2" s="1"/>
  <c r="S27" i="2"/>
  <c r="R16" i="2"/>
  <c r="T16" i="2" s="1"/>
  <c r="R30" i="2"/>
  <c r="T30" i="2" s="1"/>
  <c r="S18" i="2"/>
  <c r="R18" i="2"/>
  <c r="T18" i="2"/>
  <c r="R11" i="2"/>
  <c r="T11" i="2" s="1"/>
  <c r="S11" i="2"/>
  <c r="R8" i="2"/>
  <c r="T8" i="2" s="1"/>
  <c r="T3" i="2"/>
  <c r="S3" i="2"/>
  <c r="M1" i="2"/>
  <c r="I3" i="1"/>
  <c r="Q1" i="2" l="1"/>
  <c r="R1" i="2"/>
  <c r="I4" i="1"/>
  <c r="I5" i="1" l="1"/>
  <c r="I6" i="1" l="1"/>
  <c r="I7" i="1" l="1"/>
  <c r="I8" i="1" l="1"/>
  <c r="I9" i="1" s="1"/>
  <c r="I10" i="1" l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B23" i="1" l="1"/>
  <c r="C3" i="2" s="1"/>
  <c r="B24" i="1"/>
  <c r="C4" i="2" s="1"/>
  <c r="B59" i="1"/>
  <c r="C5" i="2" s="1"/>
  <c r="B106" i="1" l="1"/>
  <c r="B64" i="1"/>
  <c r="C10" i="2" s="1"/>
  <c r="B61" i="1"/>
  <c r="C7" i="2" s="1"/>
  <c r="B63" i="1"/>
  <c r="C9" i="2" s="1"/>
  <c r="B60" i="1"/>
  <c r="C6" i="2" s="1"/>
  <c r="B62" i="1"/>
  <c r="C8" i="2" s="1"/>
  <c r="B65" i="1"/>
  <c r="C11" i="2" s="1"/>
  <c r="B87" i="1"/>
  <c r="B100" i="1"/>
  <c r="B66" i="1"/>
  <c r="C12" i="2" s="1"/>
  <c r="B85" i="1"/>
  <c r="C31" i="2" s="1"/>
  <c r="B73" i="1"/>
  <c r="C19" i="2" s="1"/>
  <c r="B83" i="1"/>
  <c r="C29" i="2" s="1"/>
  <c r="B93" i="1"/>
  <c r="B89" i="1"/>
  <c r="B86" i="1"/>
  <c r="B67" i="1"/>
  <c r="C13" i="2" s="1"/>
  <c r="B69" i="1"/>
  <c r="C15" i="2" s="1"/>
  <c r="B79" i="1"/>
  <c r="C25" i="2" s="1"/>
  <c r="B80" i="1"/>
  <c r="C26" i="2" s="1"/>
  <c r="B82" i="1"/>
  <c r="C28" i="2" s="1"/>
  <c r="B68" i="1"/>
  <c r="C14" i="2" s="1"/>
  <c r="B71" i="1"/>
  <c r="C17" i="2" s="1"/>
  <c r="B76" i="1"/>
  <c r="C22" i="2" s="1"/>
  <c r="B88" i="1"/>
  <c r="B81" i="1"/>
  <c r="C27" i="2" s="1"/>
  <c r="B91" i="1"/>
  <c r="B90" i="1"/>
  <c r="B95" i="1"/>
  <c r="B94" i="1"/>
  <c r="B77" i="1"/>
  <c r="C23" i="2" s="1"/>
  <c r="B92" i="1"/>
  <c r="B70" i="1"/>
  <c r="C16" i="2" s="1"/>
  <c r="B78" i="1"/>
  <c r="C24" i="2" s="1"/>
  <c r="B97" i="1"/>
  <c r="B98" i="1"/>
  <c r="B96" i="1"/>
  <c r="B99" i="1"/>
  <c r="B72" i="1"/>
  <c r="C18" i="2" s="1"/>
  <c r="B74" i="1"/>
  <c r="C20" i="2" s="1"/>
  <c r="B84" i="1"/>
  <c r="C30" i="2" s="1"/>
  <c r="B75" i="1"/>
  <c r="C21" i="2" s="1"/>
  <c r="B101" i="1"/>
  <c r="B102" i="1"/>
  <c r="B105" i="1"/>
  <c r="B104" i="1"/>
  <c r="B1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<sst xmlns="http://schemas.openxmlformats.org/spreadsheetml/2006/main" count="1455" uniqueCount="666">
  <si>
    <t>Страна</t>
  </si>
  <si>
    <t>Образ Жизни</t>
  </si>
  <si>
    <t>Сезон</t>
  </si>
  <si>
    <t>Сезон коллекции</t>
  </si>
  <si>
    <t>Сезон для Арт.</t>
  </si>
  <si>
    <t>Кол-во</t>
  </si>
  <si>
    <t>Вид товара</t>
  </si>
  <si>
    <t>Категория</t>
  </si>
  <si>
    <t>Группа</t>
  </si>
  <si>
    <t>№</t>
  </si>
  <si>
    <t>Цвет</t>
  </si>
  <si>
    <t>Ткань</t>
  </si>
  <si>
    <t>Узор</t>
  </si>
  <si>
    <t>Кодировка</t>
  </si>
  <si>
    <t>Значение</t>
  </si>
  <si>
    <t>Цвета</t>
  </si>
  <si>
    <t>RGB</t>
  </si>
  <si>
    <t>Узбекистан</t>
  </si>
  <si>
    <t>Бейсик</t>
  </si>
  <si>
    <t>Всесезонный</t>
  </si>
  <si>
    <t>CONT</t>
  </si>
  <si>
    <t>CON</t>
  </si>
  <si>
    <t>Аксессуары</t>
  </si>
  <si>
    <t>Мультиколор</t>
  </si>
  <si>
    <t>Ангора</t>
  </si>
  <si>
    <t>Полоска</t>
  </si>
  <si>
    <t>ACC</t>
  </si>
  <si>
    <t>Accessories</t>
  </si>
  <si>
    <t>Белый</t>
  </si>
  <si>
    <t>WHT</t>
  </si>
  <si>
    <t>White</t>
  </si>
  <si>
    <t>255, 255, 255</t>
  </si>
  <si>
    <t>Китай</t>
  </si>
  <si>
    <t>Классика</t>
  </si>
  <si>
    <t>Весна-Осень</t>
  </si>
  <si>
    <t>SS26</t>
  </si>
  <si>
    <t>S26</t>
  </si>
  <si>
    <t>Оранжевый</t>
  </si>
  <si>
    <t>Атлас</t>
  </si>
  <si>
    <t>Клетка</t>
  </si>
  <si>
    <t>Верхняя одежда</t>
  </si>
  <si>
    <t>OUT</t>
  </si>
  <si>
    <t>Outerwear</t>
  </si>
  <si>
    <t>Молочный</t>
  </si>
  <si>
    <t>MIL</t>
  </si>
  <si>
    <t>Milk</t>
  </si>
  <si>
    <t>248, 244, 227</t>
  </si>
  <si>
    <t>Турция</t>
  </si>
  <si>
    <t>Кэжуал</t>
  </si>
  <si>
    <t>Лето</t>
  </si>
  <si>
    <t>AW26</t>
  </si>
  <si>
    <t>A26</t>
  </si>
  <si>
    <t>Кофейный</t>
  </si>
  <si>
    <t>Балоновый</t>
  </si>
  <si>
    <t>С принтом</t>
  </si>
  <si>
    <t>Нижнее белье</t>
  </si>
  <si>
    <t>UND</t>
  </si>
  <si>
    <t>Underwear</t>
  </si>
  <si>
    <t>Бежевый</t>
  </si>
  <si>
    <t>BEI</t>
  </si>
  <si>
    <t>Beige</t>
  </si>
  <si>
    <t>222, 184, 135</t>
  </si>
  <si>
    <t>Кыргызстан</t>
  </si>
  <si>
    <t>Фэшн</t>
  </si>
  <si>
    <t>Зима</t>
  </si>
  <si>
    <t>SS25</t>
  </si>
  <si>
    <t>S25</t>
  </si>
  <si>
    <t>Золотистый</t>
  </si>
  <si>
    <t>Бамбук</t>
  </si>
  <si>
    <t>С вышивкой</t>
  </si>
  <si>
    <t>Обувь</t>
  </si>
  <si>
    <t>SHO</t>
  </si>
  <si>
    <t>Shoes</t>
  </si>
  <si>
    <t>Желтый</t>
  </si>
  <si>
    <t>YEL</t>
  </si>
  <si>
    <t>Yellow</t>
  </si>
  <si>
    <t>255, 255, 0</t>
  </si>
  <si>
    <t>Вьетнам</t>
  </si>
  <si>
    <t>Спорт</t>
  </si>
  <si>
    <t>AW25</t>
  </si>
  <si>
    <t>A25</t>
  </si>
  <si>
    <t>Бейсболка</t>
  </si>
  <si>
    <t>Головные уборы</t>
  </si>
  <si>
    <t>Цитрон</t>
  </si>
  <si>
    <t>Вельвет</t>
  </si>
  <si>
    <t>Однотонный</t>
  </si>
  <si>
    <t>Одежда Боттом</t>
  </si>
  <si>
    <t>BOT</t>
  </si>
  <si>
    <t>Bottom</t>
  </si>
  <si>
    <t>ORA</t>
  </si>
  <si>
    <t>Orange</t>
  </si>
  <si>
    <t>255, 165, 0</t>
  </si>
  <si>
    <t>Россия</t>
  </si>
  <si>
    <t>Школьный</t>
  </si>
  <si>
    <t>Готовый платок</t>
  </si>
  <si>
    <t>Велюр</t>
  </si>
  <si>
    <t>Горох</t>
  </si>
  <si>
    <t>Одежда комплект</t>
  </si>
  <si>
    <t>SET</t>
  </si>
  <si>
    <t>Set</t>
  </si>
  <si>
    <t>Красный</t>
  </si>
  <si>
    <t>RED</t>
  </si>
  <si>
    <t>Red</t>
  </si>
  <si>
    <t>255, 0, 0</t>
  </si>
  <si>
    <t>США</t>
  </si>
  <si>
    <t>Кепка</t>
  </si>
  <si>
    <t>Вискоза</t>
  </si>
  <si>
    <t>Другое</t>
  </si>
  <si>
    <t>Одежда Топ</t>
  </si>
  <si>
    <t>TOP</t>
  </si>
  <si>
    <t>Top</t>
  </si>
  <si>
    <t>Бордовый</t>
  </si>
  <si>
    <t>BRG</t>
  </si>
  <si>
    <t>Burgundy</t>
  </si>
  <si>
    <t>128, 0, 32</t>
  </si>
  <si>
    <t>Белоруссия</t>
  </si>
  <si>
    <t>Наушники меховые</t>
  </si>
  <si>
    <t>Бледно-серый</t>
  </si>
  <si>
    <t>Вязяный</t>
  </si>
  <si>
    <t>Животные</t>
  </si>
  <si>
    <t>Для новорождённых</t>
  </si>
  <si>
    <t>ANO</t>
  </si>
  <si>
    <t>Anonim</t>
  </si>
  <si>
    <t>Розовый</t>
  </si>
  <si>
    <t>PNK</t>
  </si>
  <si>
    <t>Pink</t>
  </si>
  <si>
    <t>255, 192, 203</t>
  </si>
  <si>
    <t>Великобритания</t>
  </si>
  <si>
    <t>Панама</t>
  </si>
  <si>
    <t>Гипюр</t>
  </si>
  <si>
    <t>Камуфляж</t>
  </si>
  <si>
    <t>Красота и уход</t>
  </si>
  <si>
    <t>Фиолетовый</t>
  </si>
  <si>
    <t>VIO</t>
  </si>
  <si>
    <t>Violet</t>
  </si>
  <si>
    <t>128, 0, 128</t>
  </si>
  <si>
    <t>Италия</t>
  </si>
  <si>
    <t>Платок</t>
  </si>
  <si>
    <t>Лимон лайм</t>
  </si>
  <si>
    <t>Деним</t>
  </si>
  <si>
    <t>Цветочный</t>
  </si>
  <si>
    <t>Текстиль</t>
  </si>
  <si>
    <t>Салатовый</t>
  </si>
  <si>
    <t>LGN</t>
  </si>
  <si>
    <t>Light Green</t>
  </si>
  <si>
    <t>124, 252, 0</t>
  </si>
  <si>
    <t>ОАЭ</t>
  </si>
  <si>
    <t>Тюбетейка</t>
  </si>
  <si>
    <t>Драп</t>
  </si>
  <si>
    <t>Леопардовый</t>
  </si>
  <si>
    <t>Личная гигиена</t>
  </si>
  <si>
    <t>Зеленый</t>
  </si>
  <si>
    <t>GRN</t>
  </si>
  <si>
    <t>Green</t>
  </si>
  <si>
    <t>0, 128, 0</t>
  </si>
  <si>
    <t>Польша</t>
  </si>
  <si>
    <t>Фуражка</t>
  </si>
  <si>
    <t>Желто-зеленый</t>
  </si>
  <si>
    <t>Замша</t>
  </si>
  <si>
    <t>Рваность</t>
  </si>
  <si>
    <t>Стирки и уход за бельем</t>
  </si>
  <si>
    <t>Темно-зеленый</t>
  </si>
  <si>
    <t>DGN</t>
  </si>
  <si>
    <t>Dark Green</t>
  </si>
  <si>
    <t>0, 100, 0</t>
  </si>
  <si>
    <t>Таиланд</t>
  </si>
  <si>
    <t>Хиджаб</t>
  </si>
  <si>
    <t>Интерлок</t>
  </si>
  <si>
    <t>Разное</t>
  </si>
  <si>
    <t>Гигиена и уход ребенка</t>
  </si>
  <si>
    <t>Хаки</t>
  </si>
  <si>
    <t>Khaki</t>
  </si>
  <si>
    <t>195, 176, 145</t>
  </si>
  <si>
    <t>Южная корея</t>
  </si>
  <si>
    <t>Шапка</t>
  </si>
  <si>
    <t>Кашемир</t>
  </si>
  <si>
    <t>Потертость</t>
  </si>
  <si>
    <t>Детское питание</t>
  </si>
  <si>
    <t>Мята</t>
  </si>
  <si>
    <t>MNT</t>
  </si>
  <si>
    <t>Mint</t>
  </si>
  <si>
    <t>152, 255, 152</t>
  </si>
  <si>
    <t>Франция</t>
  </si>
  <si>
    <t>Шляпа</t>
  </si>
  <si>
    <t>Бутылочно-зеленый</t>
  </si>
  <si>
    <t>Классическая ткань</t>
  </si>
  <si>
    <t>Бисер-камни</t>
  </si>
  <si>
    <t>Телефонные аксессуары</t>
  </si>
  <si>
    <t>Бирюзовый</t>
  </si>
  <si>
    <t>TUR</t>
  </si>
  <si>
    <t>Turquoise</t>
  </si>
  <si>
    <t>64, 224, 208</t>
  </si>
  <si>
    <t>Болотный</t>
  </si>
  <si>
    <t>Клеёнка</t>
  </si>
  <si>
    <t>Рисунок или ротация</t>
  </si>
  <si>
    <t>Голубой</t>
  </si>
  <si>
    <t>SKY</t>
  </si>
  <si>
    <t>Sky Blue</t>
  </si>
  <si>
    <t>135, 206, 235</t>
  </si>
  <si>
    <t>Оливковый</t>
  </si>
  <si>
    <t>Кожа</t>
  </si>
  <si>
    <t>Синий</t>
  </si>
  <si>
    <t>Blue</t>
  </si>
  <si>
    <t>0, 102, 204</t>
  </si>
  <si>
    <t>Лайкра</t>
  </si>
  <si>
    <t>Темно-синий</t>
  </si>
  <si>
    <t>NBL</t>
  </si>
  <si>
    <t>0, 0, 128</t>
  </si>
  <si>
    <t>Ментоловый</t>
  </si>
  <si>
    <t>Махровая ткань</t>
  </si>
  <si>
    <t>Серый</t>
  </si>
  <si>
    <t>GRY</t>
  </si>
  <si>
    <t>Gray</t>
  </si>
  <si>
    <t>128, 128, 128</t>
  </si>
  <si>
    <t>Коричневый</t>
  </si>
  <si>
    <t>Мех</t>
  </si>
  <si>
    <t>Темно-серый</t>
  </si>
  <si>
    <t>DGY</t>
  </si>
  <si>
    <t>Dark Gray</t>
  </si>
  <si>
    <t>64, 64, 64</t>
  </si>
  <si>
    <t>Отбор</t>
  </si>
  <si>
    <t>Каштан</t>
  </si>
  <si>
    <t>Начёс</t>
  </si>
  <si>
    <t>BRN</t>
  </si>
  <si>
    <t>Brown</t>
  </si>
  <si>
    <t>139, 69, 19</t>
  </si>
  <si>
    <t>Очки</t>
  </si>
  <si>
    <t>Бледно-коричневый</t>
  </si>
  <si>
    <t>Плащевка</t>
  </si>
  <si>
    <t>Темно-коричневый</t>
  </si>
  <si>
    <t>DBR</t>
  </si>
  <si>
    <t>Dark Brown</t>
  </si>
  <si>
    <t>92, 51, 23</t>
  </si>
  <si>
    <t>Салфетка для очков</t>
  </si>
  <si>
    <t>Поролон</t>
  </si>
  <si>
    <t>Черный</t>
  </si>
  <si>
    <t>BLK</t>
  </si>
  <si>
    <t>Black</t>
  </si>
  <si>
    <t>0, 0, 0</t>
  </si>
  <si>
    <t>Футляр для очков</t>
  </si>
  <si>
    <t>Пуховик</t>
  </si>
  <si>
    <t>MUL</t>
  </si>
  <si>
    <t>Multicolor</t>
  </si>
  <si>
    <t>Вишневый</t>
  </si>
  <si>
    <t>Резина</t>
  </si>
  <si>
    <t>Рубин</t>
  </si>
  <si>
    <t>Рибана</t>
  </si>
  <si>
    <t>Бринк розовый</t>
  </si>
  <si>
    <t>Сатин</t>
  </si>
  <si>
    <t>Кораллово-розовый</t>
  </si>
  <si>
    <t>Сетка</t>
  </si>
  <si>
    <t>Синтетика</t>
  </si>
  <si>
    <t>Корсет</t>
  </si>
  <si>
    <t>Ремни и пояса</t>
  </si>
  <si>
    <t>Грязно-розовый</t>
  </si>
  <si>
    <t>Стрейч</t>
  </si>
  <si>
    <t>Подтяжки</t>
  </si>
  <si>
    <t>Темно-розовый</t>
  </si>
  <si>
    <t>Супрем</t>
  </si>
  <si>
    <t>Пояс</t>
  </si>
  <si>
    <t>Серо-розовый</t>
  </si>
  <si>
    <t>Ремень</t>
  </si>
  <si>
    <t>Фуксия</t>
  </si>
  <si>
    <t>Хлопок</t>
  </si>
  <si>
    <t>Барсетка</t>
  </si>
  <si>
    <t>Сумки</t>
  </si>
  <si>
    <t>Лиловый</t>
  </si>
  <si>
    <t>Холлофайбер</t>
  </si>
  <si>
    <t>Дорожная сумка</t>
  </si>
  <si>
    <t>Шерсть</t>
  </si>
  <si>
    <t>Клатч</t>
  </si>
  <si>
    <t>Пурпурный</t>
  </si>
  <si>
    <t>Шифон</t>
  </si>
  <si>
    <t>Рюкзак</t>
  </si>
  <si>
    <t>Сумка</t>
  </si>
  <si>
    <t>Бирюзово-зеленый</t>
  </si>
  <si>
    <t>Чемодан</t>
  </si>
  <si>
    <t>Бомбер</t>
  </si>
  <si>
    <t>Бомберы и Ветровки</t>
  </si>
  <si>
    <t>Кадетский серый</t>
  </si>
  <si>
    <t>Ветровка</t>
  </si>
  <si>
    <t>Холодный серый</t>
  </si>
  <si>
    <t>Комбинезон</t>
  </si>
  <si>
    <t>Жилет безрукавка</t>
  </si>
  <si>
    <t>Куртки</t>
  </si>
  <si>
    <t>Черный оливковый</t>
  </si>
  <si>
    <t>Куртка</t>
  </si>
  <si>
    <t>Куртка джинсовая</t>
  </si>
  <si>
    <t>Куртка кожаная</t>
  </si>
  <si>
    <t>Пальто</t>
  </si>
  <si>
    <t>Пальто и плащи</t>
  </si>
  <si>
    <t>Джинсовый</t>
  </si>
  <si>
    <t>Плащ</t>
  </si>
  <si>
    <t>Электрический индиго</t>
  </si>
  <si>
    <t>Шуба</t>
  </si>
  <si>
    <t>Жакет</t>
  </si>
  <si>
    <t>Пиджаки и жакеты</t>
  </si>
  <si>
    <t>Небесно-синий</t>
  </si>
  <si>
    <t>Пиджак</t>
  </si>
  <si>
    <t>Уголь</t>
  </si>
  <si>
    <t>Рыжий</t>
  </si>
  <si>
    <t>Барсовка</t>
  </si>
  <si>
    <t>Кроссовки и кеды</t>
  </si>
  <si>
    <t>Бутсы</t>
  </si>
  <si>
    <t>Кеды</t>
  </si>
  <si>
    <t>Кроссовки</t>
  </si>
  <si>
    <t>Лоферы</t>
  </si>
  <si>
    <t>Мокасины и туфли</t>
  </si>
  <si>
    <t>Мокасины</t>
  </si>
  <si>
    <t>Туфли</t>
  </si>
  <si>
    <t>Ботинки</t>
  </si>
  <si>
    <t>Сапоги</t>
  </si>
  <si>
    <t>Домашние ботинки</t>
  </si>
  <si>
    <t>Полусапоги</t>
  </si>
  <si>
    <t>Угги</t>
  </si>
  <si>
    <t>Босоножки</t>
  </si>
  <si>
    <t>Тапочки и босоножки</t>
  </si>
  <si>
    <t>Домашние тапочки</t>
  </si>
  <si>
    <t>Пантолеты</t>
  </si>
  <si>
    <t>Сабо</t>
  </si>
  <si>
    <t>Сланцы</t>
  </si>
  <si>
    <t>Тапочки</t>
  </si>
  <si>
    <t>Балетки</t>
  </si>
  <si>
    <t>Чешки и балетки</t>
  </si>
  <si>
    <t>Чешки</t>
  </si>
  <si>
    <t>Восстановитель обуви</t>
  </si>
  <si>
    <t>Уход за обувью</t>
  </si>
  <si>
    <t>Губка для обуви</t>
  </si>
  <si>
    <t>Дезодорант для обуви</t>
  </si>
  <si>
    <t>Краска для кожи и курток</t>
  </si>
  <si>
    <t>Краска для обуви</t>
  </si>
  <si>
    <t>Крем для обуви</t>
  </si>
  <si>
    <t>Очиститель для обуви</t>
  </si>
  <si>
    <t>Спрей для обуви</t>
  </si>
  <si>
    <t>Стельки для обуви</t>
  </si>
  <si>
    <t>Щетка для обуви</t>
  </si>
  <si>
    <t>Рожок для обуви</t>
  </si>
  <si>
    <t>Бойфренды</t>
  </si>
  <si>
    <t>Брюки</t>
  </si>
  <si>
    <t>Брюки полуклассика</t>
  </si>
  <si>
    <t>Джинсы</t>
  </si>
  <si>
    <t>Джоггеры</t>
  </si>
  <si>
    <t>Классические брюки</t>
  </si>
  <si>
    <t>Кюлоты</t>
  </si>
  <si>
    <t>Лосины</t>
  </si>
  <si>
    <t>Трико</t>
  </si>
  <si>
    <t>Шаровары</t>
  </si>
  <si>
    <t>Штаны</t>
  </si>
  <si>
    <t>Шорты</t>
  </si>
  <si>
    <t>Капри</t>
  </si>
  <si>
    <t>Юбка</t>
  </si>
  <si>
    <t>Юбки</t>
  </si>
  <si>
    <t>Юбка брюки</t>
  </si>
  <si>
    <t>Блузка и юбка</t>
  </si>
  <si>
    <t>Комплект двойки</t>
  </si>
  <si>
    <t>Боди и штаны</t>
  </si>
  <si>
    <t>Ветровка и штаны</t>
  </si>
  <si>
    <t>Ветровка и юбка</t>
  </si>
  <si>
    <t>Водолазка и сарафан</t>
  </si>
  <si>
    <t>Двойка</t>
  </si>
  <si>
    <t>Джемпер и брюки</t>
  </si>
  <si>
    <t>Жакет и юбка</t>
  </si>
  <si>
    <t>Жилет и брюки</t>
  </si>
  <si>
    <t>Жилет и юбка</t>
  </si>
  <si>
    <t>Кардиган и туника</t>
  </si>
  <si>
    <t>Костюм и жакет</t>
  </si>
  <si>
    <t>Костюм и платье</t>
  </si>
  <si>
    <t>Костюм и рубашка</t>
  </si>
  <si>
    <t>Кофта и брюки</t>
  </si>
  <si>
    <t>Кофта и комбинезон</t>
  </si>
  <si>
    <t>Кофта и лосины</t>
  </si>
  <si>
    <t>Кофта и майка</t>
  </si>
  <si>
    <t>Кофта и накидка</t>
  </si>
  <si>
    <t>Кофта и ползунки</t>
  </si>
  <si>
    <t>Кофта и сарафан</t>
  </si>
  <si>
    <t>Кофта и шорты</t>
  </si>
  <si>
    <t>Кофта и штаны</t>
  </si>
  <si>
    <t>Кофта и юбка</t>
  </si>
  <si>
    <t>Куртка и брюки</t>
  </si>
  <si>
    <t>Платье и болеро</t>
  </si>
  <si>
    <t>Платье и жакет</t>
  </si>
  <si>
    <t>Платье и лосины</t>
  </si>
  <si>
    <t>Платье и накидка</t>
  </si>
  <si>
    <t>Платье и сарафан</t>
  </si>
  <si>
    <t>Платье и свитер</t>
  </si>
  <si>
    <t>Платье и трусы</t>
  </si>
  <si>
    <t>Платье и шорты</t>
  </si>
  <si>
    <t>Платье и штаны</t>
  </si>
  <si>
    <t>Рубашка и брюки</t>
  </si>
  <si>
    <t>Рубашка и комбинезон</t>
  </si>
  <si>
    <t>Рубашка и лямка</t>
  </si>
  <si>
    <t>Рубашка и сумка</t>
  </si>
  <si>
    <t>Рубашка и футболка</t>
  </si>
  <si>
    <t>Рубашка и шорты</t>
  </si>
  <si>
    <t>Рубашка и штаны</t>
  </si>
  <si>
    <t>Сарафан и штаны</t>
  </si>
  <si>
    <t>Свитер и джинсы</t>
  </si>
  <si>
    <t>Свитер и комбинезон</t>
  </si>
  <si>
    <t>Свитер и кюлот</t>
  </si>
  <si>
    <t>Свитер и штаны</t>
  </si>
  <si>
    <t>Толстовка и штаны</t>
  </si>
  <si>
    <t>Туника и брюки</t>
  </si>
  <si>
    <t>Туника и лосины</t>
  </si>
  <si>
    <t>Туника и лямка</t>
  </si>
  <si>
    <t>Футболка и брюки</t>
  </si>
  <si>
    <t>Футболка и комбинезон</t>
  </si>
  <si>
    <t>Футболка и майка</t>
  </si>
  <si>
    <t>Футболка и сарафан</t>
  </si>
  <si>
    <t>Футболка и туника</t>
  </si>
  <si>
    <t>Футболка и шорты</t>
  </si>
  <si>
    <t>Футболка и штаны</t>
  </si>
  <si>
    <t>Халат и ползунки</t>
  </si>
  <si>
    <t>Халат и штаны</t>
  </si>
  <si>
    <t>Худи и штаны</t>
  </si>
  <si>
    <t>Ветровка, боди и штаны</t>
  </si>
  <si>
    <t>Комплект тройки</t>
  </si>
  <si>
    <t>Ветровка, брюк и кофта</t>
  </si>
  <si>
    <t>Ветровка, толстовка и штаны</t>
  </si>
  <si>
    <t>Ветровка, футболка и брюки</t>
  </si>
  <si>
    <t>Ветровка, футболка и трико</t>
  </si>
  <si>
    <t>Ветровка, футболка и штаны</t>
  </si>
  <si>
    <t>Жакет, рубашка и брюки</t>
  </si>
  <si>
    <t>Жилетка, рубашка и шорты</t>
  </si>
  <si>
    <t>Жилетка, рубашка и юбка</t>
  </si>
  <si>
    <t>Костюм, боди и брюки</t>
  </si>
  <si>
    <t>Костюм, брюк и кофта</t>
  </si>
  <si>
    <t>Костюм, брюк и футболка</t>
  </si>
  <si>
    <t>Кофта, джемпер и юбка</t>
  </si>
  <si>
    <t>Кофта, жакет и брюки</t>
  </si>
  <si>
    <t>Кофта, жакет и шорты</t>
  </si>
  <si>
    <t>Кофта, жакет и юбка</t>
  </si>
  <si>
    <t>Кофта, майка и шорты</t>
  </si>
  <si>
    <t>Кофта, накидка и брюки</t>
  </si>
  <si>
    <t>Кофта, штаны и шорты</t>
  </si>
  <si>
    <t>Куртка, футболка и брюки</t>
  </si>
  <si>
    <t>Платье, футболка и штаны</t>
  </si>
  <si>
    <t>Распашонка, боди и ползунки</t>
  </si>
  <si>
    <t>Рубашка, костюм и брюки</t>
  </si>
  <si>
    <t>Рубашка, майка и брюки</t>
  </si>
  <si>
    <t>Рубашка, майка и шорты</t>
  </si>
  <si>
    <t>Рубашка, футболка и брюки</t>
  </si>
  <si>
    <t>Рубашка, футболка и шорты</t>
  </si>
  <si>
    <t>Свитер, безруркавка и штаны</t>
  </si>
  <si>
    <t>Свитер, майка и штаны</t>
  </si>
  <si>
    <t>Свитер, рубашка и брюки</t>
  </si>
  <si>
    <t>Толстовка, жилет и брюки</t>
  </si>
  <si>
    <t>Толстовка, майка и штаны</t>
  </si>
  <si>
    <t>Тройка</t>
  </si>
  <si>
    <t>Футболка, жакет и брюки</t>
  </si>
  <si>
    <t>Футболка, жакет и шорты</t>
  </si>
  <si>
    <t>Футболка, жакет и штаны</t>
  </si>
  <si>
    <t>Футболка, майка и брюки</t>
  </si>
  <si>
    <t>Халат, сорочка и штаны</t>
  </si>
  <si>
    <t>Халат, штаны и шорты</t>
  </si>
  <si>
    <t>Костюмы</t>
  </si>
  <si>
    <t>Костюм героя</t>
  </si>
  <si>
    <t>Костюм и брюки</t>
  </si>
  <si>
    <t>Костюм и юбка</t>
  </si>
  <si>
    <t>Спортивка двойка</t>
  </si>
  <si>
    <t>Спортивная одежда</t>
  </si>
  <si>
    <t>Спортивка тройка</t>
  </si>
  <si>
    <t>Блузка</t>
  </si>
  <si>
    <t>Блузки и кофты</t>
  </si>
  <si>
    <t>Кофта</t>
  </si>
  <si>
    <t>Туника</t>
  </si>
  <si>
    <t>Платье</t>
  </si>
  <si>
    <t>Платья и сарафаны</t>
  </si>
  <si>
    <t>Сарафан</t>
  </si>
  <si>
    <t>Рубашка</t>
  </si>
  <si>
    <t>Рубашки</t>
  </si>
  <si>
    <t>Рубашка с длинными рукавами</t>
  </si>
  <si>
    <t>Водолазка</t>
  </si>
  <si>
    <t>Свитеры и кардиганы</t>
  </si>
  <si>
    <t>Джемпер</t>
  </si>
  <si>
    <t>Кардиган</t>
  </si>
  <si>
    <t>Пуловер</t>
  </si>
  <si>
    <t>Свитер</t>
  </si>
  <si>
    <t>Свитер поло</t>
  </si>
  <si>
    <t>Олимпийка</t>
  </si>
  <si>
    <t>Толстовки и олимпийки</t>
  </si>
  <si>
    <t>Толстовка</t>
  </si>
  <si>
    <t>Худи</t>
  </si>
  <si>
    <t>Американка</t>
  </si>
  <si>
    <t>Футболки и поло</t>
  </si>
  <si>
    <t>Лонгслив</t>
  </si>
  <si>
    <t>Поло с длинными рукавами</t>
  </si>
  <si>
    <t>Футболка</t>
  </si>
  <si>
    <t>Футболка безрукавка</t>
  </si>
  <si>
    <t>Скечерс</t>
  </si>
  <si>
    <t>Last Articul:</t>
  </si>
  <si>
    <t>Модель</t>
  </si>
  <si>
    <t>Образец</t>
  </si>
  <si>
    <t>Варианты</t>
  </si>
  <si>
    <t>Группы</t>
  </si>
  <si>
    <t>Код модели</t>
  </si>
  <si>
    <t>Бренд</t>
  </si>
  <si>
    <t>Описание</t>
  </si>
  <si>
    <t>Наименование</t>
  </si>
  <si>
    <t>Размерный ряд</t>
  </si>
  <si>
    <t>Количество</t>
  </si>
  <si>
    <t>Надценка</t>
  </si>
  <si>
    <t>Цена продажи</t>
  </si>
  <si>
    <t>Сумма закупа</t>
  </si>
  <si>
    <t>Сумма продажи</t>
  </si>
  <si>
    <t>Тест</t>
  </si>
  <si>
    <t>Артикул</t>
  </si>
  <si>
    <t>Аксессуары для хиджаба</t>
  </si>
  <si>
    <t>Бандана</t>
  </si>
  <si>
    <t>Повязка</t>
  </si>
  <si>
    <t>Спортивная сумка</t>
  </si>
  <si>
    <t>Портфель</t>
  </si>
  <si>
    <t>Кошелек</t>
  </si>
  <si>
    <t>Сумка для ноутбука</t>
  </si>
  <si>
    <t>Наручные часы</t>
  </si>
  <si>
    <t>Часы</t>
  </si>
  <si>
    <t>Ремешки для часов</t>
  </si>
  <si>
    <t>Футляр для наручных часов</t>
  </si>
  <si>
    <t>Панчо</t>
  </si>
  <si>
    <t>Сороконожки</t>
  </si>
  <si>
    <t>Резиновые тапочки</t>
  </si>
  <si>
    <t>Сандалии</t>
  </si>
  <si>
    <t>Кроксы</t>
  </si>
  <si>
    <t>Султанка</t>
  </si>
  <si>
    <t>Багги</t>
  </si>
  <si>
    <t>Футбольная форма</t>
  </si>
  <si>
    <t>Комплект Тресс</t>
  </si>
  <si>
    <t>Свитер жилетка</t>
  </si>
  <si>
    <t>Футболка поло</t>
  </si>
  <si>
    <t>Футболка поло с д.р</t>
  </si>
  <si>
    <t>Коллекция</t>
  </si>
  <si>
    <t>Серия</t>
  </si>
  <si>
    <t>Одежда Комплект</t>
  </si>
  <si>
    <t>M-3XL</t>
  </si>
  <si>
    <t>Воротник</t>
  </si>
  <si>
    <t>Застежка</t>
  </si>
  <si>
    <t>Без застежки</t>
  </si>
  <si>
    <t>Кнопка</t>
  </si>
  <si>
    <t>Замок</t>
  </si>
  <si>
    <t>Пуговица</t>
  </si>
  <si>
    <t>Стойка</t>
  </si>
  <si>
    <t>Круглый</t>
  </si>
  <si>
    <t>V-вырез</t>
  </si>
  <si>
    <t>Отложной</t>
  </si>
  <si>
    <t>Код цвета</t>
  </si>
  <si>
    <t>Индиго</t>
  </si>
  <si>
    <t>Indigo</t>
  </si>
  <si>
    <t>IND</t>
  </si>
  <si>
    <t>Турецкий</t>
  </si>
  <si>
    <t>Beyaz</t>
  </si>
  <si>
    <t xml:space="preserve">Ekru </t>
  </si>
  <si>
    <t xml:space="preserve">Kiremit </t>
  </si>
  <si>
    <t>Bordo</t>
  </si>
  <si>
    <t>Sari</t>
  </si>
  <si>
    <t xml:space="preserve">Lacivert </t>
  </si>
  <si>
    <t>Turkuaz</t>
  </si>
  <si>
    <t>Yesil</t>
  </si>
  <si>
    <t>Haki</t>
  </si>
  <si>
    <t>HKI</t>
  </si>
  <si>
    <t>A.Yesil</t>
  </si>
  <si>
    <t>Purple</t>
  </si>
  <si>
    <t>Фиолетовый Синий</t>
  </si>
  <si>
    <t>Тёмно-индиго</t>
  </si>
  <si>
    <t>Рыжий коричневый</t>
  </si>
  <si>
    <t>Визон</t>
  </si>
  <si>
    <t>Тёмный визон</t>
  </si>
  <si>
    <t>Тёмно-бежевый</t>
  </si>
  <si>
    <t>Violet Blue</t>
  </si>
  <si>
    <t>Dark Indigo</t>
  </si>
  <si>
    <t>Tan</t>
  </si>
  <si>
    <t>Mink</t>
  </si>
  <si>
    <t>Dark Mink</t>
  </si>
  <si>
    <t>Dark Beige</t>
  </si>
  <si>
    <t>Светло-бежевый</t>
  </si>
  <si>
    <t xml:space="preserve">Антрасит </t>
  </si>
  <si>
    <t>Light Beige</t>
  </si>
  <si>
    <t>Anthracite</t>
  </si>
  <si>
    <t>Тёмный кирпичный</t>
  </si>
  <si>
    <t>Dark Brick</t>
  </si>
  <si>
    <t>VBL</t>
  </si>
  <si>
    <t>DIN</t>
  </si>
  <si>
    <t>TAN</t>
  </si>
  <si>
    <t>MNK</t>
  </si>
  <si>
    <t>DMN</t>
  </si>
  <si>
    <t>DBJ</t>
  </si>
  <si>
    <t>LBJ</t>
  </si>
  <si>
    <t>ANT</t>
  </si>
  <si>
    <t>DBC</t>
  </si>
  <si>
    <t>Dark Blue</t>
  </si>
  <si>
    <t>DBL</t>
  </si>
  <si>
    <t xml:space="preserve">K.Bordo </t>
  </si>
  <si>
    <t>P.Yesil</t>
  </si>
  <si>
    <t xml:space="preserve">Mavi </t>
  </si>
  <si>
    <t>K.Lacivert</t>
  </si>
  <si>
    <t>GRI</t>
  </si>
  <si>
    <t>K.GRI</t>
  </si>
  <si>
    <t>Kahve</t>
  </si>
  <si>
    <t>K.Kahve</t>
  </si>
  <si>
    <t>A.Lacivert</t>
  </si>
  <si>
    <t>K.Indigo</t>
  </si>
  <si>
    <t>Taba</t>
  </si>
  <si>
    <t xml:space="preserve">Vizon </t>
  </si>
  <si>
    <t xml:space="preserve">K.Vizon </t>
  </si>
  <si>
    <t xml:space="preserve">K.Bej </t>
  </si>
  <si>
    <t xml:space="preserve">A.Bej </t>
  </si>
  <si>
    <t xml:space="preserve">Antrasit </t>
  </si>
  <si>
    <t>K.Kiremit</t>
  </si>
  <si>
    <t>Siyah</t>
  </si>
  <si>
    <t>5</t>
  </si>
  <si>
    <t>Закупочная цена</t>
  </si>
  <si>
    <t>LIWALI</t>
  </si>
  <si>
    <t>1M21241-1587</t>
  </si>
  <si>
    <t>варот замок мадел</t>
  </si>
  <si>
    <t>Haki.Kahva</t>
  </si>
  <si>
    <t>K.Laci.Kahve</t>
  </si>
  <si>
    <t>HRN</t>
  </si>
  <si>
    <t>DBD</t>
  </si>
  <si>
    <t>K.Kahve.Kahve</t>
  </si>
  <si>
    <t>P.Mavi.Melan</t>
  </si>
  <si>
    <t>SKM</t>
  </si>
  <si>
    <t>BRD</t>
  </si>
  <si>
    <t>A.Kiremit</t>
  </si>
  <si>
    <t>A.Mavi</t>
  </si>
  <si>
    <t>A.Haki</t>
  </si>
  <si>
    <t>SAY</t>
  </si>
  <si>
    <t>ARO</t>
  </si>
  <si>
    <t>AHK</t>
  </si>
  <si>
    <t>M.Petrol</t>
  </si>
  <si>
    <t>Bordo K.Laci</t>
  </si>
  <si>
    <t>Kahvamel</t>
  </si>
  <si>
    <t>PTM</t>
  </si>
  <si>
    <t>BKL</t>
  </si>
  <si>
    <t>KVl</t>
  </si>
  <si>
    <t>Vizon-Ekru</t>
  </si>
  <si>
    <t>TML</t>
  </si>
  <si>
    <t>K.Laci-Indigo</t>
  </si>
  <si>
    <t>DBN</t>
  </si>
  <si>
    <t>Keten</t>
  </si>
  <si>
    <t>KTN</t>
  </si>
  <si>
    <t>K.laci-Kiremit</t>
  </si>
  <si>
    <t>DBK</t>
  </si>
  <si>
    <t>P.Yesil-Siyah</t>
  </si>
  <si>
    <t>GBL</t>
  </si>
  <si>
    <t>A.Bej.Ekru</t>
  </si>
  <si>
    <t>K.Bej.Ekru</t>
  </si>
  <si>
    <t>Caramel</t>
  </si>
  <si>
    <t>CRL</t>
  </si>
  <si>
    <t>LBM</t>
  </si>
  <si>
    <t>DBM</t>
  </si>
  <si>
    <t>K.Taba</t>
  </si>
  <si>
    <t>Sax</t>
  </si>
  <si>
    <t>Kum.Bej</t>
  </si>
  <si>
    <t>Petrol.Mavi</t>
  </si>
  <si>
    <t>Kirmizi</t>
  </si>
  <si>
    <t>PSA</t>
  </si>
  <si>
    <t>KRI</t>
  </si>
  <si>
    <t>KBJ</t>
  </si>
  <si>
    <t>KTA</t>
  </si>
  <si>
    <t>SAX</t>
  </si>
  <si>
    <t>1M21241-1485</t>
  </si>
  <si>
    <t>варот замок мелани</t>
  </si>
  <si>
    <t>K.Laci.P.Yesil</t>
  </si>
  <si>
    <t>Vizon.K.Kahve</t>
  </si>
  <si>
    <t>A26TOP00405</t>
  </si>
  <si>
    <t>A26TOP00406</t>
  </si>
  <si>
    <t>BNR</t>
  </si>
  <si>
    <t>DGR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</si>
</sst>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_-;\-* #,##0_-;_-* &quot;-&quot;??_-;_-@_-"/>
    <numFmt numFmtId="166" formatCode="_-* #,##0\ _₽_-;\-* #,##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4E3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C3B091"/>
        <bgColor indexed="64"/>
      </patternFill>
    </fill>
    <fill>
      <patternFill patternType="solid">
        <fgColor rgb="FF98FF98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5C3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83834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313A1"/>
        <bgColor indexed="64"/>
      </patternFill>
    </fill>
    <fill>
      <patternFill patternType="solid">
        <fgColor rgb="FF2B036D"/>
        <bgColor indexed="64"/>
      </patternFill>
    </fill>
    <fill>
      <patternFill patternType="solid">
        <fgColor rgb="FF0A1A68"/>
        <bgColor indexed="64"/>
      </patternFill>
    </fill>
    <fill>
      <patternFill patternType="solid">
        <fgColor rgb="FF968576"/>
        <bgColor indexed="64"/>
      </patternFill>
    </fill>
    <fill>
      <patternFill patternType="solid">
        <fgColor rgb="FF71645C"/>
        <bgColor indexed="64"/>
      </patternFill>
    </fill>
    <fill>
      <patternFill patternType="solid">
        <fgColor rgb="FFA88E6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D0B8"/>
        <bgColor indexed="64"/>
      </patternFill>
    </fill>
    <fill>
      <patternFill patternType="solid">
        <fgColor rgb="FF44474A"/>
        <bgColor indexed="64"/>
      </patternFill>
    </fill>
    <fill>
      <patternFill patternType="solid">
        <fgColor rgb="FF982222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5">
    <xf numFmtId="0" fontId="0" fillId="0" borderId="0" xfId="0"/>
    <xf numFmtId="0" fontId="4" fillId="2" borderId="0" xfId="0" applyFont="1" applyFill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3" fillId="3" borderId="0" xfId="0" applyFont="1" applyFill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1" xfId="3" applyFont="1" applyFill="1" applyBorder="1" applyAlignment="1">
      <alignment vertical="center"/>
    </xf>
    <xf numFmtId="0" fontId="0" fillId="0" borderId="2" xfId="0" applyBorder="1"/>
    <xf numFmtId="0" fontId="0" fillId="5" borderId="0" xfId="0" applyFill="1"/>
    <xf numFmtId="0" fontId="7" fillId="5" borderId="0" xfId="0" applyFont="1" applyFill="1" applyAlignment="1">
      <alignment vertical="center"/>
    </xf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8" borderId="0" xfId="0" applyFill="1"/>
    <xf numFmtId="0" fontId="0" fillId="9" borderId="0" xfId="0" applyFill="1"/>
    <xf numFmtId="3" fontId="0" fillId="0" borderId="0" xfId="0" applyNumberFormat="1"/>
    <xf numFmtId="0" fontId="0" fillId="2" borderId="0" xfId="0" applyFill="1" applyAlignment="1">
      <alignment horizontal="left" vertic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left"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8" fillId="0" borderId="2" xfId="0" applyFont="1" applyBorder="1"/>
    <xf numFmtId="0" fontId="8" fillId="0" borderId="1" xfId="0" applyFont="1" applyBorder="1"/>
    <xf numFmtId="0" fontId="2" fillId="30" borderId="0" xfId="0" applyFont="1" applyFill="1" applyAlignment="1">
      <alignment horizontal="center"/>
    </xf>
    <xf numFmtId="49" fontId="0" fillId="0" borderId="0" xfId="0" applyNumberFormat="1"/>
    <xf numFmtId="165" fontId="4" fillId="0" borderId="0" xfId="1" applyNumberFormat="1" applyFont="1"/>
    <xf numFmtId="165" fontId="4" fillId="0" borderId="0" xfId="1" applyNumberFormat="1" applyFont="1" applyAlignment="1">
      <alignment horizontal="center" vertical="center"/>
    </xf>
    <xf numFmtId="9" fontId="4" fillId="10" borderId="3" xfId="2" applyFont="1" applyFill="1" applyBorder="1" applyAlignment="1">
      <alignment horizontal="center"/>
    </xf>
    <xf numFmtId="1" fontId="4" fillId="10" borderId="3" xfId="2" applyNumberFormat="1" applyFont="1" applyFill="1" applyBorder="1" applyAlignment="1">
      <alignment horizontal="center"/>
    </xf>
    <xf numFmtId="0" fontId="9" fillId="31" borderId="4" xfId="0" applyFont="1" applyFill="1" applyBorder="1" applyAlignment="1">
      <alignment vertical="center"/>
    </xf>
    <xf numFmtId="0" fontId="9" fillId="12" borderId="4" xfId="0" applyFont="1" applyFill="1" applyBorder="1" applyAlignment="1">
      <alignment vertical="center"/>
    </xf>
    <xf numFmtId="49" fontId="9" fillId="31" borderId="4" xfId="0" applyNumberFormat="1" applyFont="1" applyFill="1" applyBorder="1" applyAlignment="1">
      <alignment vertical="center"/>
    </xf>
    <xf numFmtId="0" fontId="9" fillId="12" borderId="5" xfId="0" applyFont="1" applyFill="1" applyBorder="1" applyAlignment="1">
      <alignment vertical="center"/>
    </xf>
    <xf numFmtId="0" fontId="9" fillId="1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33" borderId="4" xfId="0" applyFill="1" applyBorder="1"/>
    <xf numFmtId="49" fontId="0" fillId="33" borderId="4" xfId="0" applyNumberFormat="1" applyFill="1" applyBorder="1"/>
    <xf numFmtId="0" fontId="0" fillId="10" borderId="4" xfId="0" applyFill="1" applyBorder="1"/>
    <xf numFmtId="0" fontId="0" fillId="34" borderId="4" xfId="0" applyFill="1" applyBorder="1"/>
    <xf numFmtId="0" fontId="0" fillId="34" borderId="6" xfId="0" applyFill="1" applyBorder="1"/>
    <xf numFmtId="49" fontId="0" fillId="33" borderId="6" xfId="0" applyNumberFormat="1" applyFill="1" applyBorder="1"/>
    <xf numFmtId="3" fontId="0" fillId="34" borderId="5" xfId="0" applyNumberFormat="1" applyFill="1" applyBorder="1"/>
    <xf numFmtId="3" fontId="0" fillId="33" borderId="5" xfId="0" applyNumberFormat="1" applyFill="1" applyBorder="1" applyAlignment="1">
      <alignment horizontal="center" vertical="center"/>
    </xf>
    <xf numFmtId="3" fontId="0" fillId="35" borderId="5" xfId="0" applyNumberFormat="1" applyFill="1" applyBorder="1" applyAlignment="1">
      <alignment horizontal="center"/>
    </xf>
    <xf numFmtId="3" fontId="0" fillId="35" borderId="6" xfId="0" applyNumberFormat="1" applyFill="1" applyBorder="1" applyAlignment="1">
      <alignment horizontal="center"/>
    </xf>
    <xf numFmtId="3" fontId="0" fillId="35" borderId="7" xfId="0" applyNumberFormat="1" applyFill="1" applyBorder="1" applyAlignment="1">
      <alignment horizontal="center"/>
    </xf>
    <xf numFmtId="0" fontId="0" fillId="0" borderId="4" xfId="0" applyBorder="1"/>
    <xf numFmtId="49" fontId="0" fillId="0" borderId="6" xfId="0" applyNumberFormat="1" applyBorder="1"/>
    <xf numFmtId="49" fontId="0" fillId="0" borderId="4" xfId="0" applyNumberFormat="1" applyBorder="1"/>
    <xf numFmtId="3" fontId="0" fillId="0" borderId="5" xfId="0" applyNumberFormat="1" applyBorder="1" applyAlignment="1">
      <alignment horizontal="center" vertical="center"/>
    </xf>
    <xf numFmtId="3" fontId="0" fillId="35" borderId="8" xfId="0" applyNumberFormat="1" applyFill="1" applyBorder="1" applyAlignment="1">
      <alignment horizontal="center"/>
    </xf>
    <xf numFmtId="0" fontId="0" fillId="10" borderId="2" xfId="0" applyFill="1" applyBorder="1"/>
    <xf numFmtId="0" fontId="0" fillId="33" borderId="2" xfId="0" applyFill="1" applyBorder="1"/>
    <xf numFmtId="0" fontId="0" fillId="34" borderId="2" xfId="0" applyFill="1" applyBorder="1"/>
    <xf numFmtId="0" fontId="0" fillId="34" borderId="9" xfId="0" applyFill="1" applyBorder="1"/>
    <xf numFmtId="49" fontId="0" fillId="33" borderId="9" xfId="0" applyNumberFormat="1" applyFill="1" applyBorder="1"/>
    <xf numFmtId="49" fontId="0" fillId="33" borderId="2" xfId="0" applyNumberFormat="1" applyFill="1" applyBorder="1"/>
    <xf numFmtId="3" fontId="0" fillId="34" borderId="10" xfId="0" applyNumberFormat="1" applyFill="1" applyBorder="1"/>
    <xf numFmtId="3" fontId="0" fillId="33" borderId="10" xfId="0" applyNumberFormat="1" applyFill="1" applyBorder="1" applyAlignment="1">
      <alignment horizontal="center" vertical="center"/>
    </xf>
    <xf numFmtId="3" fontId="0" fillId="35" borderId="11" xfId="0" applyNumberFormat="1" applyFill="1" applyBorder="1" applyAlignment="1">
      <alignment horizontal="center"/>
    </xf>
    <xf numFmtId="3" fontId="0" fillId="35" borderId="10" xfId="0" applyNumberFormat="1" applyFill="1" applyBorder="1" applyAlignment="1">
      <alignment horizontal="center"/>
    </xf>
    <xf numFmtId="3" fontId="0" fillId="35" borderId="12" xfId="0" applyNumberFormat="1" applyFill="1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33" borderId="4" xfId="0" applyNumberFormat="1" applyFill="1" applyBorder="1"/>
    <xf numFmtId="9" fontId="0" fillId="0" borderId="4" xfId="0" applyNumberFormat="1" applyBorder="1"/>
    <xf numFmtId="9" fontId="0" fillId="33" borderId="2" xfId="0" applyNumberFormat="1" applyFill="1" applyBorder="1"/>
    <xf numFmtId="166" fontId="4" fillId="0" borderId="0" xfId="1" applyNumberFormat="1" applyFont="1"/>
    <xf numFmtId="166" fontId="9" fillId="31" borderId="4" xfId="1" applyNumberFormat="1" applyFont="1" applyFill="1" applyBorder="1" applyAlignment="1">
      <alignment vertical="center"/>
    </xf>
    <xf numFmtId="166" fontId="0" fillId="33" borderId="4" xfId="1" applyNumberFormat="1" applyFont="1" applyFill="1" applyBorder="1"/>
    <xf numFmtId="166" fontId="0" fillId="0" borderId="4" xfId="1" applyNumberFormat="1" applyFont="1" applyBorder="1"/>
    <xf numFmtId="166" fontId="0" fillId="33" borderId="2" xfId="1" applyNumberFormat="1" applyFont="1" applyFill="1" applyBorder="1"/>
    <xf numFmtId="166" fontId="0" fillId="0" borderId="0" xfId="1" applyNumberFormat="1" applyFont="1"/>
    <xf numFmtId="0" fontId="0" fillId="0" borderId="0" xfId="3" applyFont="1" applyFill="1" applyBorder="1"/>
    <xf numFmtId="0" fontId="0" fillId="0" borderId="0" xfId="3" applyFont="1" applyFill="1" applyBorder="1" applyAlignment="1">
      <alignment vertical="center"/>
    </xf>
    <xf numFmtId="0" fontId="8" fillId="0" borderId="0" xfId="0" applyFont="1"/>
    <xf numFmtId="49" fontId="9" fillId="31" borderId="4" xfId="0" applyNumberFormat="1" applyFont="1" applyFill="1" applyBorder="1" applyAlignment="1">
      <alignment horizontal="center" vertical="center" wrapText="1"/>
    </xf>
    <xf numFmtId="166" fontId="9" fillId="31" borderId="4" xfId="1" applyNumberFormat="1" applyFont="1" applyFill="1" applyBorder="1" applyAlignment="1">
      <alignment vertical="center" wrapText="1"/>
    </xf>
    <xf numFmtId="0" fontId="3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33" borderId="6" xfId="0" applyFill="1" applyBorder="1"/>
    <xf numFmtId="0" fontId="0" fillId="0" borderId="6" xfId="0" applyBorder="1"/>
    <xf numFmtId="0" fontId="0" fillId="37" borderId="0" xfId="0" applyFill="1"/>
    <xf numFmtId="0" fontId="0" fillId="38" borderId="0" xfId="0" applyFill="1"/>
    <xf numFmtId="0" fontId="14" fillId="39" borderId="0" xfId="0" applyFont="1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4" fillId="40" borderId="0" xfId="0" applyFont="1" applyFill="1" applyAlignment="1">
      <alignment horizontal="center" vertical="center"/>
    </xf>
    <xf numFmtId="0" fontId="4" fillId="41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1" fillId="45" borderId="3" xfId="0" applyFont="1" applyFill="1" applyBorder="1" applyAlignment="1">
      <alignment horizontal="center" vertical="center"/>
    </xf>
    <xf numFmtId="0" fontId="4" fillId="42" borderId="3" xfId="0" applyFont="1" applyFill="1" applyBorder="1" applyAlignment="1">
      <alignment horizontal="center" vertical="center"/>
    </xf>
    <xf numFmtId="0" fontId="4" fillId="43" borderId="3" xfId="0" applyFont="1" applyFill="1" applyBorder="1" applyAlignment="1">
      <alignment horizontal="center" vertical="center"/>
    </xf>
    <xf numFmtId="0" fontId="11" fillId="44" borderId="3" xfId="0" applyFont="1" applyFill="1" applyBorder="1" applyAlignment="1">
      <alignment horizontal="center" vertical="center"/>
    </xf>
    <xf numFmtId="0" fontId="11" fillId="46" borderId="3" xfId="0" applyFont="1" applyFill="1" applyBorder="1" applyAlignment="1">
      <alignment horizontal="center" vertical="center"/>
    </xf>
    <xf numFmtId="0" fontId="4" fillId="47" borderId="3" xfId="0" applyFont="1" applyFill="1" applyBorder="1" applyAlignment="1">
      <alignment horizontal="center" vertical="center"/>
    </xf>
    <xf numFmtId="0" fontId="4" fillId="48" borderId="3" xfId="0" applyFont="1" applyFill="1" applyBorder="1" applyAlignment="1">
      <alignment horizontal="center" vertical="center"/>
    </xf>
    <xf numFmtId="0" fontId="4" fillId="29" borderId="3" xfId="0" applyFont="1" applyFill="1" applyBorder="1" applyAlignment="1">
      <alignment horizontal="center" vertical="center"/>
    </xf>
    <xf numFmtId="3" fontId="0" fillId="35" borderId="3" xfId="0" applyNumberFormat="1" applyFill="1" applyBorder="1" applyAlignment="1">
      <alignment horizontal="center"/>
    </xf>
    <xf numFmtId="0" fontId="10" fillId="39" borderId="0" xfId="0" applyFont="1" applyFill="1" applyAlignment="1">
      <alignment horizontal="center" vertical="center"/>
    </xf>
    <xf numFmtId="0" fontId="0" fillId="49" borderId="0" xfId="0" applyFill="1"/>
    <xf numFmtId="0" fontId="0" fillId="0" borderId="0" xfId="0" applyNumberFormat="1"/>
    <xf numFmtId="3" fontId="0" fillId="35" borderId="14" xfId="0" applyNumberFormat="1" applyFill="1" applyBorder="1" applyAlignment="1">
      <alignment horizontal="center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9B9B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0" formatCode="General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6" formatCode="_-* #,##0\ _₽_-;\-* #,##0\ _₽_-;_-* &quot;-&quot;??\ _₽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6" formatCode="_-* #,##0\ _₽_-;\-* #,##0\ _₽_-;_-* &quot;-&quot;??\ _₽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166" formatCode="_-* #,##0\ _₽_-;\-* #,##0\ _₽_-;_-* &quot;-&quot;??\ _₽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5" tint="0.399975585192419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Telegram%20Desktop/Prixod%20Asosiy%20skla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Asosiy"/>
      <sheetName val="Лист2"/>
      <sheetName val="Ruyxat"/>
    </sheetNames>
    <sheetDataSet>
      <sheetData sheetId="0" refreshError="1"/>
      <sheetData sheetId="1" refreshError="1"/>
      <sheetData sheetId="2" refreshError="1"/>
      <sheetData sheetId="3" refreshError="1">
        <row r="2">
          <cell r="J2" t="str">
            <v>Бабочка</v>
          </cell>
          <cell r="K2" t="str">
            <v>Галстуки и запонки</v>
          </cell>
          <cell r="L2" t="str">
            <v>Аксессуары</v>
          </cell>
        </row>
        <row r="3">
          <cell r="J3" t="str">
            <v>Галстук</v>
          </cell>
          <cell r="K3" t="str">
            <v>Галстуки и запонки</v>
          </cell>
          <cell r="L3" t="str">
            <v>Аксессуары</v>
          </cell>
        </row>
        <row r="4">
          <cell r="J4" t="str">
            <v>Зажим для галстука</v>
          </cell>
          <cell r="K4" t="str">
            <v>Галстуки и запонки</v>
          </cell>
          <cell r="L4" t="str">
            <v>Аксессуары</v>
          </cell>
        </row>
        <row r="5">
          <cell r="J5" t="str">
            <v>Запонка</v>
          </cell>
          <cell r="K5" t="str">
            <v>Галстуки и запонки</v>
          </cell>
          <cell r="L5" t="str">
            <v>Аксессуары</v>
          </cell>
        </row>
        <row r="6">
          <cell r="J6" t="str">
            <v>Бейсболка</v>
          </cell>
          <cell r="K6" t="str">
            <v>Головные уборы</v>
          </cell>
          <cell r="L6" t="str">
            <v>Аксессуары</v>
          </cell>
        </row>
        <row r="7">
          <cell r="J7" t="str">
            <v>Готовый платок</v>
          </cell>
          <cell r="K7" t="str">
            <v>Головные уборы</v>
          </cell>
          <cell r="L7" t="str">
            <v>Аксессуары</v>
          </cell>
        </row>
        <row r="8">
          <cell r="J8" t="str">
            <v>Кепка</v>
          </cell>
          <cell r="K8" t="str">
            <v>Головные уборы</v>
          </cell>
          <cell r="L8" t="str">
            <v>Аксессуары</v>
          </cell>
        </row>
        <row r="9">
          <cell r="J9" t="str">
            <v>Наушники меховые</v>
          </cell>
          <cell r="K9" t="str">
            <v>Головные уборы</v>
          </cell>
          <cell r="L9" t="str">
            <v>Аксессуары</v>
          </cell>
        </row>
        <row r="10">
          <cell r="J10" t="str">
            <v>Панама</v>
          </cell>
          <cell r="K10" t="str">
            <v>Головные уборы</v>
          </cell>
          <cell r="L10" t="str">
            <v>Аксессуары</v>
          </cell>
        </row>
        <row r="11">
          <cell r="J11" t="str">
            <v>Платок</v>
          </cell>
          <cell r="K11" t="str">
            <v>Головные уборы</v>
          </cell>
          <cell r="L11" t="str">
            <v>Аксессуары</v>
          </cell>
        </row>
        <row r="12">
          <cell r="J12" t="str">
            <v>Тюбетейка</v>
          </cell>
          <cell r="K12" t="str">
            <v>Головные уборы</v>
          </cell>
          <cell r="L12" t="str">
            <v>Аксессуары</v>
          </cell>
        </row>
        <row r="13">
          <cell r="J13" t="str">
            <v>Фуражка</v>
          </cell>
          <cell r="K13" t="str">
            <v>Головные уборы</v>
          </cell>
          <cell r="L13" t="str">
            <v>Аксессуары</v>
          </cell>
        </row>
        <row r="14">
          <cell r="J14" t="str">
            <v>Хиджаб</v>
          </cell>
          <cell r="K14" t="str">
            <v>Головные уборы</v>
          </cell>
          <cell r="L14" t="str">
            <v>Аксессуары</v>
          </cell>
        </row>
        <row r="15">
          <cell r="J15" t="str">
            <v>Шапка</v>
          </cell>
          <cell r="K15" t="str">
            <v>Головные уборы</v>
          </cell>
          <cell r="L15" t="str">
            <v>Аксессуары</v>
          </cell>
        </row>
        <row r="16">
          <cell r="J16" t="str">
            <v>Шляпа</v>
          </cell>
          <cell r="K16" t="str">
            <v>Головные уборы</v>
          </cell>
          <cell r="L16" t="str">
            <v>Аксессуары</v>
          </cell>
        </row>
        <row r="17">
          <cell r="J17" t="str">
            <v>Гетры</v>
          </cell>
          <cell r="K17" t="str">
            <v>Носки</v>
          </cell>
          <cell r="L17" t="str">
            <v>Аксессуары</v>
          </cell>
        </row>
        <row r="18">
          <cell r="J18" t="str">
            <v>Гольфы</v>
          </cell>
          <cell r="K18" t="str">
            <v>Носки</v>
          </cell>
          <cell r="L18" t="str">
            <v>Аксессуары</v>
          </cell>
        </row>
        <row r="19">
          <cell r="J19" t="str">
            <v>Наколенник</v>
          </cell>
          <cell r="K19" t="str">
            <v>Носки</v>
          </cell>
          <cell r="L19" t="str">
            <v>Аксессуары</v>
          </cell>
        </row>
        <row r="20">
          <cell r="J20" t="str">
            <v>Носки</v>
          </cell>
          <cell r="K20" t="str">
            <v>Носки</v>
          </cell>
          <cell r="L20" t="str">
            <v>Аксессуары</v>
          </cell>
        </row>
        <row r="21">
          <cell r="J21" t="str">
            <v>Пятки</v>
          </cell>
          <cell r="K21" t="str">
            <v>Носки</v>
          </cell>
          <cell r="L21" t="str">
            <v>Аксессуары</v>
          </cell>
        </row>
        <row r="22">
          <cell r="J22" t="str">
            <v>Чулки</v>
          </cell>
          <cell r="K22" t="str">
            <v>Носки</v>
          </cell>
          <cell r="L22" t="str">
            <v>Аксессуары</v>
          </cell>
        </row>
        <row r="23">
          <cell r="J23" t="str">
            <v>Очки</v>
          </cell>
          <cell r="K23" t="str">
            <v>Очки</v>
          </cell>
          <cell r="L23" t="str">
            <v>Аксессуары</v>
          </cell>
        </row>
        <row r="24">
          <cell r="J24" t="str">
            <v>Салфетка для очков</v>
          </cell>
          <cell r="K24" t="str">
            <v>Очки</v>
          </cell>
          <cell r="L24" t="str">
            <v>Аксессуары</v>
          </cell>
        </row>
        <row r="25">
          <cell r="J25" t="str">
            <v>Футляр для очков</v>
          </cell>
          <cell r="K25" t="str">
            <v>Очки</v>
          </cell>
          <cell r="L25" t="str">
            <v>Аксессуары</v>
          </cell>
        </row>
        <row r="26">
          <cell r="J26" t="str">
            <v>Варежки</v>
          </cell>
          <cell r="K26" t="str">
            <v>Перчатки и варежки</v>
          </cell>
          <cell r="L26" t="str">
            <v>Аксессуары</v>
          </cell>
        </row>
        <row r="27">
          <cell r="J27" t="str">
            <v>Нарукавники</v>
          </cell>
          <cell r="K27" t="str">
            <v>Перчатки и варежки</v>
          </cell>
          <cell r="L27" t="str">
            <v>Аксессуары</v>
          </cell>
        </row>
        <row r="28">
          <cell r="J28" t="str">
            <v>Перчатки</v>
          </cell>
          <cell r="K28" t="str">
            <v>Перчатки и варежки</v>
          </cell>
          <cell r="L28" t="str">
            <v>Аксессуары</v>
          </cell>
        </row>
        <row r="29">
          <cell r="J29" t="str">
            <v>Носовой платочек</v>
          </cell>
          <cell r="K29" t="str">
            <v>Платки и шарфы</v>
          </cell>
          <cell r="L29" t="str">
            <v>Аксессуары</v>
          </cell>
        </row>
        <row r="30">
          <cell r="J30" t="str">
            <v>Шапка шарф</v>
          </cell>
          <cell r="K30" t="str">
            <v>Платки и шарфы</v>
          </cell>
          <cell r="L30" t="str">
            <v>Аксессуары</v>
          </cell>
        </row>
        <row r="31">
          <cell r="J31" t="str">
            <v>Шарф</v>
          </cell>
          <cell r="K31" t="str">
            <v>Платки и шарфы</v>
          </cell>
          <cell r="L31" t="str">
            <v>Аксессуары</v>
          </cell>
        </row>
        <row r="32">
          <cell r="J32" t="str">
            <v>Корсет</v>
          </cell>
          <cell r="K32" t="str">
            <v>Ремни и пояса</v>
          </cell>
          <cell r="L32" t="str">
            <v>Аксессуары</v>
          </cell>
        </row>
        <row r="33">
          <cell r="J33" t="str">
            <v>Подтяжки</v>
          </cell>
          <cell r="K33" t="str">
            <v>Ремни и пояса</v>
          </cell>
          <cell r="L33" t="str">
            <v>Аксессуары</v>
          </cell>
        </row>
        <row r="34">
          <cell r="J34" t="str">
            <v>Пояс</v>
          </cell>
          <cell r="K34" t="str">
            <v>Ремни и пояса</v>
          </cell>
          <cell r="L34" t="str">
            <v>Аксессуары</v>
          </cell>
        </row>
        <row r="35">
          <cell r="J35" t="str">
            <v>Ремень</v>
          </cell>
          <cell r="K35" t="str">
            <v>Ремни и пояса</v>
          </cell>
          <cell r="L35" t="str">
            <v>Аксессуары</v>
          </cell>
        </row>
        <row r="36">
          <cell r="J36" t="str">
            <v>Барсетка</v>
          </cell>
          <cell r="K36" t="str">
            <v>Сумки</v>
          </cell>
          <cell r="L36" t="str">
            <v>Аксессуары</v>
          </cell>
        </row>
        <row r="37">
          <cell r="J37" t="str">
            <v>Дорожная сумка</v>
          </cell>
          <cell r="K37" t="str">
            <v>Сумки</v>
          </cell>
          <cell r="L37" t="str">
            <v>Аксессуары</v>
          </cell>
        </row>
        <row r="38">
          <cell r="J38" t="str">
            <v>Клатч</v>
          </cell>
          <cell r="K38" t="str">
            <v>Сумки</v>
          </cell>
          <cell r="L38" t="str">
            <v>Аксессуары</v>
          </cell>
        </row>
        <row r="39">
          <cell r="J39" t="str">
            <v>Рюкзак</v>
          </cell>
          <cell r="K39" t="str">
            <v>Сумки</v>
          </cell>
          <cell r="L39" t="str">
            <v>Аксессуары</v>
          </cell>
        </row>
        <row r="40">
          <cell r="J40" t="str">
            <v>Сумка</v>
          </cell>
          <cell r="K40" t="str">
            <v>Сумки</v>
          </cell>
          <cell r="L40" t="str">
            <v>Аксессуары</v>
          </cell>
        </row>
        <row r="41">
          <cell r="J41" t="str">
            <v>Чемодан</v>
          </cell>
          <cell r="K41" t="str">
            <v>Сумки</v>
          </cell>
          <cell r="L41" t="str">
            <v>Аксессуары</v>
          </cell>
        </row>
        <row r="42">
          <cell r="J42" t="str">
            <v>Бомбер</v>
          </cell>
          <cell r="K42" t="str">
            <v>Бомберы и Ветровки</v>
          </cell>
          <cell r="L42" t="str">
            <v>Верхняя одежда</v>
          </cell>
        </row>
        <row r="43">
          <cell r="J43" t="str">
            <v>Ветровка</v>
          </cell>
          <cell r="K43" t="str">
            <v>Бомберы и Ветровки</v>
          </cell>
          <cell r="L43" t="str">
            <v>Верхняя одежда</v>
          </cell>
        </row>
        <row r="44">
          <cell r="J44" t="str">
            <v>Комбинезон</v>
          </cell>
          <cell r="K44" t="str">
            <v>Комбинезон</v>
          </cell>
          <cell r="L44" t="str">
            <v>Верхняя одежда</v>
          </cell>
        </row>
        <row r="45">
          <cell r="J45" t="str">
            <v>Жилет безрукавка</v>
          </cell>
          <cell r="K45" t="str">
            <v>Куртки</v>
          </cell>
          <cell r="L45" t="str">
            <v>Верхняя одежда</v>
          </cell>
        </row>
        <row r="46">
          <cell r="J46" t="str">
            <v>Куртка</v>
          </cell>
          <cell r="K46" t="str">
            <v>Куртки</v>
          </cell>
          <cell r="L46" t="str">
            <v>Верхняя одежда</v>
          </cell>
        </row>
        <row r="47">
          <cell r="J47" t="str">
            <v>Куртка джинсовая</v>
          </cell>
          <cell r="K47" t="str">
            <v>Куртки</v>
          </cell>
          <cell r="L47" t="str">
            <v>Верхняя одежда</v>
          </cell>
        </row>
        <row r="48">
          <cell r="J48" t="str">
            <v>Куртка кожаная</v>
          </cell>
          <cell r="K48" t="str">
            <v>Куртки</v>
          </cell>
          <cell r="L48" t="str">
            <v>Верхняя одежда</v>
          </cell>
        </row>
        <row r="49">
          <cell r="J49" t="str">
            <v>Пальто</v>
          </cell>
          <cell r="K49" t="str">
            <v>Пальто и плащи</v>
          </cell>
          <cell r="L49" t="str">
            <v>Верхняя одежда</v>
          </cell>
        </row>
        <row r="50">
          <cell r="J50" t="str">
            <v>Плащ</v>
          </cell>
          <cell r="K50" t="str">
            <v>Пальто и плащи</v>
          </cell>
          <cell r="L50" t="str">
            <v>Верхняя одежда</v>
          </cell>
        </row>
        <row r="51">
          <cell r="J51" t="str">
            <v>Шуба</v>
          </cell>
          <cell r="K51" t="str">
            <v>Пальто и плащи</v>
          </cell>
          <cell r="L51" t="str">
            <v>Верхняя одежда</v>
          </cell>
        </row>
        <row r="52">
          <cell r="J52" t="str">
            <v>Жакет</v>
          </cell>
          <cell r="K52" t="str">
            <v>Пиджаки и жакеты</v>
          </cell>
          <cell r="L52" t="str">
            <v>Верхняя одежда</v>
          </cell>
        </row>
        <row r="53">
          <cell r="J53" t="str">
            <v>Пиджак</v>
          </cell>
          <cell r="K53" t="str">
            <v>Пиджаки и жакеты</v>
          </cell>
          <cell r="L53" t="str">
            <v>Верхняя одежда</v>
          </cell>
        </row>
        <row r="54">
          <cell r="J54" t="str">
            <v>Антицарапки</v>
          </cell>
          <cell r="K54" t="str">
            <v>Аксессуары для новорождённых</v>
          </cell>
          <cell r="L54" t="str">
            <v>Для новорождённых</v>
          </cell>
        </row>
        <row r="55">
          <cell r="J55" t="str">
            <v>Гнездо для ребенка</v>
          </cell>
          <cell r="K55" t="str">
            <v>Аксессуары для новорождённых</v>
          </cell>
          <cell r="L55" t="str">
            <v>Для новорождённых</v>
          </cell>
        </row>
        <row r="56">
          <cell r="J56" t="str">
            <v>Клеёнка</v>
          </cell>
          <cell r="K56" t="str">
            <v>Аксессуары для новорождённых</v>
          </cell>
          <cell r="L56" t="str">
            <v>Для новорождённых</v>
          </cell>
        </row>
        <row r="57">
          <cell r="J57" t="str">
            <v>Клеёнка для горшка</v>
          </cell>
          <cell r="K57" t="str">
            <v>Аксессуары для новорождённых</v>
          </cell>
          <cell r="L57" t="str">
            <v>Для новорождённых</v>
          </cell>
        </row>
        <row r="58">
          <cell r="J58" t="str">
            <v>Кокон</v>
          </cell>
          <cell r="K58" t="str">
            <v>Аксессуары для новорождённых</v>
          </cell>
          <cell r="L58" t="str">
            <v>Для новорождённых</v>
          </cell>
        </row>
        <row r="59">
          <cell r="J59" t="str">
            <v>Конверт для новорожденных</v>
          </cell>
          <cell r="K59" t="str">
            <v>Аксессуары для новорождённых</v>
          </cell>
          <cell r="L59" t="str">
            <v>Для новорождённых</v>
          </cell>
        </row>
        <row r="60">
          <cell r="J60" t="str">
            <v>Корзина для детей</v>
          </cell>
          <cell r="K60" t="str">
            <v>Аксессуары для новорождённых</v>
          </cell>
          <cell r="L60" t="str">
            <v>Для новорождённых</v>
          </cell>
        </row>
        <row r="61">
          <cell r="J61" t="str">
            <v>Косынка для детей</v>
          </cell>
          <cell r="K61" t="str">
            <v>Аксессуары для новорождённых</v>
          </cell>
          <cell r="L61" t="str">
            <v>Для новорождённых</v>
          </cell>
        </row>
        <row r="62">
          <cell r="J62" t="str">
            <v>Москитная сетка</v>
          </cell>
          <cell r="K62" t="str">
            <v>Аксессуары для новорождённых</v>
          </cell>
          <cell r="L62" t="str">
            <v>Для новорождённых</v>
          </cell>
        </row>
        <row r="63">
          <cell r="J63" t="str">
            <v>Набор плед</v>
          </cell>
          <cell r="K63" t="str">
            <v>Аксессуары для новорождённых</v>
          </cell>
          <cell r="L63" t="str">
            <v>Для новорождённых</v>
          </cell>
        </row>
        <row r="64">
          <cell r="J64" t="str">
            <v>Пелёнка</v>
          </cell>
          <cell r="K64" t="str">
            <v>Аксессуары для новорождённых</v>
          </cell>
          <cell r="L64" t="str">
            <v>Для новорождённых</v>
          </cell>
        </row>
        <row r="65">
          <cell r="J65" t="str">
            <v>Пелёнка для горшка</v>
          </cell>
          <cell r="K65" t="str">
            <v>Аксессуары для новорождённых</v>
          </cell>
          <cell r="L65" t="str">
            <v>Для новорождённых</v>
          </cell>
        </row>
        <row r="66">
          <cell r="J66" t="str">
            <v>Первая обувь</v>
          </cell>
          <cell r="K66" t="str">
            <v>Аксессуары для новорождённых</v>
          </cell>
          <cell r="L66" t="str">
            <v>Для новорождённых</v>
          </cell>
        </row>
        <row r="67">
          <cell r="J67" t="str">
            <v>Пинетки</v>
          </cell>
          <cell r="K67" t="str">
            <v>Аксессуары для новорождённых</v>
          </cell>
          <cell r="L67" t="str">
            <v>Для новорождённых</v>
          </cell>
        </row>
        <row r="68">
          <cell r="J68" t="str">
            <v>Плед</v>
          </cell>
          <cell r="K68" t="str">
            <v>Аксессуары для новорождённых</v>
          </cell>
          <cell r="L68" t="str">
            <v>Для новорождённых</v>
          </cell>
        </row>
        <row r="69">
          <cell r="J69" t="str">
            <v>Подушка для новорожденных</v>
          </cell>
          <cell r="K69" t="str">
            <v>Аксессуары для новорождённых</v>
          </cell>
          <cell r="L69" t="str">
            <v>Для новорождённых</v>
          </cell>
        </row>
        <row r="70">
          <cell r="J70" t="str">
            <v>Пояс для пупка</v>
          </cell>
          <cell r="K70" t="str">
            <v>Аксессуары для новорождённых</v>
          </cell>
          <cell r="L70" t="str">
            <v>Для новорождённых</v>
          </cell>
        </row>
        <row r="71">
          <cell r="J71" t="str">
            <v>Рюкзак-кенгуру</v>
          </cell>
          <cell r="K71" t="str">
            <v>Аксессуары для новорождённых</v>
          </cell>
          <cell r="L71" t="str">
            <v>Для новорождённых</v>
          </cell>
        </row>
        <row r="72">
          <cell r="J72" t="str">
            <v>Слюнявчик</v>
          </cell>
          <cell r="K72" t="str">
            <v>Аксессуары для новорождённых</v>
          </cell>
          <cell r="L72" t="str">
            <v>Для новорождённых</v>
          </cell>
        </row>
        <row r="73">
          <cell r="J73" t="str">
            <v>Чепчик</v>
          </cell>
          <cell r="K73" t="str">
            <v>Аксессуары для новорождённых</v>
          </cell>
          <cell r="L73" t="str">
            <v>Для новорождённых</v>
          </cell>
        </row>
        <row r="74">
          <cell r="J74" t="str">
            <v>Шапочка для новорожденных</v>
          </cell>
          <cell r="K74" t="str">
            <v>Аксессуары для новорождённых</v>
          </cell>
          <cell r="L74" t="str">
            <v>Для новорождённых</v>
          </cell>
        </row>
        <row r="75">
          <cell r="J75" t="str">
            <v>Боди</v>
          </cell>
          <cell r="K75" t="str">
            <v>Одежда для новорождённых</v>
          </cell>
          <cell r="L75" t="str">
            <v>Для новорождённых</v>
          </cell>
        </row>
        <row r="76">
          <cell r="J76" t="str">
            <v>Комплект боди</v>
          </cell>
          <cell r="K76" t="str">
            <v>Одежда для новорождённых</v>
          </cell>
          <cell r="L76" t="str">
            <v>Для новорождённых</v>
          </cell>
        </row>
        <row r="77">
          <cell r="J77" t="str">
            <v>Комплект для новорождённых</v>
          </cell>
          <cell r="K77" t="str">
            <v>Одежда для новорождённых</v>
          </cell>
          <cell r="L77" t="str">
            <v>Для новорождённых</v>
          </cell>
        </row>
        <row r="78">
          <cell r="J78" t="str">
            <v>Песочник</v>
          </cell>
          <cell r="K78" t="str">
            <v>Одежда для новорождённых</v>
          </cell>
          <cell r="L78" t="str">
            <v>Для новорождённых</v>
          </cell>
        </row>
        <row r="79">
          <cell r="J79" t="str">
            <v>Ползунки</v>
          </cell>
          <cell r="K79" t="str">
            <v>Одежда для новорождённых</v>
          </cell>
          <cell r="L79" t="str">
            <v>Для новорождённых</v>
          </cell>
        </row>
        <row r="80">
          <cell r="J80" t="str">
            <v>Распашонка</v>
          </cell>
          <cell r="K80" t="str">
            <v>Одежда для новорождённых</v>
          </cell>
          <cell r="L80" t="str">
            <v>Для новорождённых</v>
          </cell>
        </row>
        <row r="81">
          <cell r="J81" t="str">
            <v>Слип</v>
          </cell>
          <cell r="K81" t="str">
            <v>Одежда для новорождённых</v>
          </cell>
          <cell r="L81" t="str">
            <v>Для новорождённых</v>
          </cell>
        </row>
        <row r="82">
          <cell r="J82" t="str">
            <v>Штанишки</v>
          </cell>
          <cell r="K82" t="str">
            <v>Одежда для новорождённых</v>
          </cell>
          <cell r="L82" t="str">
            <v>Для новорождённых</v>
          </cell>
        </row>
        <row r="83">
          <cell r="J83" t="str">
            <v>Духи</v>
          </cell>
          <cell r="K83" t="str">
            <v>Парфюмерия</v>
          </cell>
          <cell r="L83" t="str">
            <v>Красота и уход</v>
          </cell>
        </row>
        <row r="84">
          <cell r="J84" t="str">
            <v>Одеколон</v>
          </cell>
          <cell r="K84" t="str">
            <v>Парфюмерия</v>
          </cell>
          <cell r="L84" t="str">
            <v>Красота и уход</v>
          </cell>
        </row>
        <row r="85">
          <cell r="J85" t="str">
            <v>Парфюмерная вода</v>
          </cell>
          <cell r="K85" t="str">
            <v>Парфюмерия</v>
          </cell>
          <cell r="L85" t="str">
            <v>Красота и уход</v>
          </cell>
        </row>
        <row r="86">
          <cell r="J86" t="str">
            <v>Парфюмерный набор</v>
          </cell>
          <cell r="K86" t="str">
            <v>Парфюмерия</v>
          </cell>
          <cell r="L86" t="str">
            <v>Красота и уход</v>
          </cell>
        </row>
        <row r="87">
          <cell r="J87" t="str">
            <v>Туалетная вода</v>
          </cell>
          <cell r="K87" t="str">
            <v>Парфюмерия</v>
          </cell>
          <cell r="L87" t="str">
            <v>Красота и уход</v>
          </cell>
        </row>
        <row r="88">
          <cell r="J88" t="str">
            <v>Бальзам для волос</v>
          </cell>
          <cell r="K88" t="str">
            <v>Уход за волосами</v>
          </cell>
          <cell r="L88" t="str">
            <v>Красота и уход</v>
          </cell>
        </row>
        <row r="89">
          <cell r="J89" t="str">
            <v>Воск для укладки</v>
          </cell>
          <cell r="K89" t="str">
            <v>Уход за волосами</v>
          </cell>
          <cell r="L89" t="str">
            <v>Красота и уход</v>
          </cell>
        </row>
        <row r="90">
          <cell r="J90" t="str">
            <v>Гель для укладки</v>
          </cell>
          <cell r="K90" t="str">
            <v>Уход за волосами</v>
          </cell>
          <cell r="L90" t="str">
            <v>Красота и уход</v>
          </cell>
        </row>
        <row r="91">
          <cell r="J91" t="str">
            <v>Кондиционер для волос</v>
          </cell>
          <cell r="K91" t="str">
            <v>Уход за волосами</v>
          </cell>
          <cell r="L91" t="str">
            <v>Красота и уход</v>
          </cell>
        </row>
        <row r="92">
          <cell r="J92" t="str">
            <v>Краска для волос</v>
          </cell>
          <cell r="K92" t="str">
            <v>Уход за волосами</v>
          </cell>
          <cell r="L92" t="str">
            <v>Красота и уход</v>
          </cell>
        </row>
        <row r="93">
          <cell r="J93" t="str">
            <v>Крем для волос</v>
          </cell>
          <cell r="K93" t="str">
            <v>Уход за волосами</v>
          </cell>
          <cell r="L93" t="str">
            <v>Красота и уход</v>
          </cell>
        </row>
        <row r="94">
          <cell r="J94" t="str">
            <v>Лак для волос</v>
          </cell>
          <cell r="K94" t="str">
            <v>Уход за волосами</v>
          </cell>
          <cell r="L94" t="str">
            <v>Красота и уход</v>
          </cell>
        </row>
        <row r="95">
          <cell r="J95" t="str">
            <v>Маска для волос</v>
          </cell>
          <cell r="K95" t="str">
            <v>Уход за волосами</v>
          </cell>
          <cell r="L95" t="str">
            <v>Красота и уход</v>
          </cell>
        </row>
        <row r="96">
          <cell r="J96" t="str">
            <v>Масло для волос</v>
          </cell>
          <cell r="K96" t="str">
            <v>Уход за волосами</v>
          </cell>
          <cell r="L96" t="str">
            <v>Красота и уход</v>
          </cell>
        </row>
        <row r="97">
          <cell r="J97" t="str">
            <v>Мусс для волос</v>
          </cell>
          <cell r="K97" t="str">
            <v>Уход за волосами</v>
          </cell>
          <cell r="L97" t="str">
            <v>Красота и уход</v>
          </cell>
        </row>
        <row r="98">
          <cell r="J98" t="str">
            <v>Расческа-щетка</v>
          </cell>
          <cell r="K98" t="str">
            <v>Уход за волосами</v>
          </cell>
          <cell r="L98" t="str">
            <v>Красота и уход</v>
          </cell>
        </row>
        <row r="99">
          <cell r="J99" t="str">
            <v>Спрей для укладки</v>
          </cell>
          <cell r="K99" t="str">
            <v>Уход за волосами</v>
          </cell>
          <cell r="L99" t="str">
            <v>Красота и уход</v>
          </cell>
        </row>
        <row r="100">
          <cell r="J100" t="str">
            <v>Шампунь</v>
          </cell>
          <cell r="K100" t="str">
            <v>Уход за волосами</v>
          </cell>
          <cell r="L100" t="str">
            <v>Красота и уход</v>
          </cell>
        </row>
        <row r="101">
          <cell r="J101" t="str">
            <v>Шампунь-кондиционер</v>
          </cell>
          <cell r="K101" t="str">
            <v>Уход за волосами</v>
          </cell>
          <cell r="L101" t="str">
            <v>Красота и уход</v>
          </cell>
        </row>
        <row r="102">
          <cell r="J102" t="str">
            <v>Гель для загара</v>
          </cell>
          <cell r="K102" t="str">
            <v>Уход за кожей</v>
          </cell>
          <cell r="L102" t="str">
            <v>Красота и уход</v>
          </cell>
        </row>
        <row r="103">
          <cell r="J103" t="str">
            <v>Гель для кожи</v>
          </cell>
          <cell r="K103" t="str">
            <v>Уход за кожей</v>
          </cell>
          <cell r="L103" t="str">
            <v>Красота и уход</v>
          </cell>
        </row>
        <row r="104">
          <cell r="J104" t="str">
            <v>Гель для тела после загара</v>
          </cell>
          <cell r="K104" t="str">
            <v>Уход за кожей</v>
          </cell>
          <cell r="L104" t="str">
            <v>Красота и уход</v>
          </cell>
        </row>
        <row r="105">
          <cell r="J105" t="str">
            <v>Крем для загара</v>
          </cell>
          <cell r="K105" t="str">
            <v>Уход за кожей</v>
          </cell>
          <cell r="L105" t="str">
            <v>Красота и уход</v>
          </cell>
        </row>
        <row r="106">
          <cell r="J106" t="str">
            <v>Крем от загара</v>
          </cell>
          <cell r="K106" t="str">
            <v>Уход за кожей</v>
          </cell>
          <cell r="L106" t="str">
            <v>Красота и уход</v>
          </cell>
        </row>
        <row r="107">
          <cell r="J107" t="str">
            <v>Лосьон для загара</v>
          </cell>
          <cell r="K107" t="str">
            <v>Уход за кожей</v>
          </cell>
          <cell r="L107" t="str">
            <v>Красота и уход</v>
          </cell>
        </row>
        <row r="108">
          <cell r="J108" t="str">
            <v>Масло для загара</v>
          </cell>
          <cell r="K108" t="str">
            <v>Уход за кожей</v>
          </cell>
          <cell r="L108" t="str">
            <v>Красота и уход</v>
          </cell>
        </row>
        <row r="109">
          <cell r="J109" t="str">
            <v>Масло-спрей для загара</v>
          </cell>
          <cell r="K109" t="str">
            <v>Уход за кожей</v>
          </cell>
          <cell r="L109" t="str">
            <v>Красота и уход</v>
          </cell>
        </row>
        <row r="110">
          <cell r="J110" t="str">
            <v>Пенка для умывания кожи</v>
          </cell>
          <cell r="K110" t="str">
            <v>Уход за кожей</v>
          </cell>
          <cell r="L110" t="str">
            <v>Красота и уход</v>
          </cell>
        </row>
        <row r="111">
          <cell r="J111" t="str">
            <v>Спрей для загара</v>
          </cell>
          <cell r="K111" t="str">
            <v>Уход за кожей</v>
          </cell>
          <cell r="L111" t="str">
            <v>Красота и уход</v>
          </cell>
        </row>
        <row r="112">
          <cell r="J112" t="str">
            <v>Бальзам для губ</v>
          </cell>
          <cell r="K112" t="str">
            <v>Уход за лицом</v>
          </cell>
          <cell r="L112" t="str">
            <v>Красота и уход</v>
          </cell>
        </row>
        <row r="113">
          <cell r="J113" t="str">
            <v>Бальзам для лица</v>
          </cell>
          <cell r="K113" t="str">
            <v>Уход за лицом</v>
          </cell>
          <cell r="L113" t="str">
            <v>Красота и уход</v>
          </cell>
        </row>
        <row r="114">
          <cell r="J114" t="str">
            <v>Гель для лица</v>
          </cell>
          <cell r="K114" t="str">
            <v>Уход за лицом</v>
          </cell>
          <cell r="L114" t="str">
            <v>Красота и уход</v>
          </cell>
        </row>
        <row r="115">
          <cell r="J115" t="str">
            <v>Гель для умывания</v>
          </cell>
          <cell r="K115" t="str">
            <v>Уход за лицом</v>
          </cell>
          <cell r="L115" t="str">
            <v>Красота и уход</v>
          </cell>
        </row>
        <row r="116">
          <cell r="J116" t="str">
            <v>Крем для лица</v>
          </cell>
          <cell r="K116" t="str">
            <v>Уход за лицом</v>
          </cell>
          <cell r="L116" t="str">
            <v>Красота и уход</v>
          </cell>
        </row>
        <row r="117">
          <cell r="J117" t="str">
            <v>Маска для лица</v>
          </cell>
          <cell r="K117" t="str">
            <v>Уход за лицом</v>
          </cell>
          <cell r="L117" t="str">
            <v>Красота и уход</v>
          </cell>
        </row>
        <row r="118">
          <cell r="J118" t="str">
            <v>Мицеллярная вода</v>
          </cell>
          <cell r="K118" t="str">
            <v>Уход за лицом</v>
          </cell>
          <cell r="L118" t="str">
            <v>Красота и уход</v>
          </cell>
        </row>
        <row r="119">
          <cell r="J119" t="str">
            <v>Мусс для лица</v>
          </cell>
          <cell r="K119" t="str">
            <v>Уход за лицом</v>
          </cell>
          <cell r="L119" t="str">
            <v>Красота и уход</v>
          </cell>
        </row>
        <row r="120">
          <cell r="J120" t="str">
            <v>Мусс для умывания кожи</v>
          </cell>
          <cell r="K120" t="str">
            <v>Уход за лицом</v>
          </cell>
          <cell r="L120" t="str">
            <v>Красота и уход</v>
          </cell>
        </row>
        <row r="121">
          <cell r="J121" t="str">
            <v>Пенка для лица</v>
          </cell>
          <cell r="K121" t="str">
            <v>Уход за лицом</v>
          </cell>
          <cell r="L121" t="str">
            <v>Красота и уход</v>
          </cell>
        </row>
        <row r="122">
          <cell r="J122" t="str">
            <v>Помада для губ</v>
          </cell>
          <cell r="K122" t="str">
            <v>Уход за лицом</v>
          </cell>
          <cell r="L122" t="str">
            <v>Красота и уход</v>
          </cell>
        </row>
        <row r="123">
          <cell r="J123" t="str">
            <v>Пудра для умывания</v>
          </cell>
          <cell r="K123" t="str">
            <v>Уход за лицом</v>
          </cell>
          <cell r="L123" t="str">
            <v>Красота и уход</v>
          </cell>
        </row>
        <row r="124">
          <cell r="J124" t="str">
            <v>Скраб для кожи</v>
          </cell>
          <cell r="K124" t="str">
            <v>Уход за лицом</v>
          </cell>
          <cell r="L124" t="str">
            <v>Красота и уход</v>
          </cell>
        </row>
        <row r="125">
          <cell r="J125" t="str">
            <v>Скраб для лица</v>
          </cell>
          <cell r="K125" t="str">
            <v>Уход за лицом</v>
          </cell>
          <cell r="L125" t="str">
            <v>Красота и уход</v>
          </cell>
        </row>
        <row r="126">
          <cell r="J126" t="str">
            <v>Солнцезащитный крем для лица</v>
          </cell>
          <cell r="K126" t="str">
            <v>Уход за лицом</v>
          </cell>
          <cell r="L126" t="str">
            <v>Красота и уход</v>
          </cell>
        </row>
        <row r="127">
          <cell r="J127" t="str">
            <v>Сыворотка для лица</v>
          </cell>
          <cell r="K127" t="str">
            <v>Уход за лицом</v>
          </cell>
          <cell r="L127" t="str">
            <v>Красота и уход</v>
          </cell>
        </row>
        <row r="128">
          <cell r="J128" t="str">
            <v>Тоник для лица</v>
          </cell>
          <cell r="K128" t="str">
            <v>Уход за лицом</v>
          </cell>
          <cell r="L128" t="str">
            <v>Красота и уход</v>
          </cell>
        </row>
        <row r="129">
          <cell r="J129" t="str">
            <v>Гель для пяток</v>
          </cell>
          <cell r="K129" t="str">
            <v>Уход за ногами</v>
          </cell>
          <cell r="L129" t="str">
            <v>Красота и уход</v>
          </cell>
        </row>
        <row r="130">
          <cell r="J130" t="str">
            <v>Крем воск от трещин</v>
          </cell>
          <cell r="K130" t="str">
            <v>Уход за ногами</v>
          </cell>
          <cell r="L130" t="str">
            <v>Красота и уход</v>
          </cell>
        </row>
        <row r="131">
          <cell r="J131" t="str">
            <v>Крем для ног</v>
          </cell>
          <cell r="K131" t="str">
            <v>Уход за ногами</v>
          </cell>
          <cell r="L131" t="str">
            <v>Красота и уход</v>
          </cell>
        </row>
        <row r="132">
          <cell r="J132" t="str">
            <v>Спрей для ног</v>
          </cell>
          <cell r="K132" t="str">
            <v>Уход за ногами</v>
          </cell>
          <cell r="L132" t="str">
            <v>Красота и уход</v>
          </cell>
        </row>
        <row r="133">
          <cell r="J133" t="str">
            <v>Антисептик для рук</v>
          </cell>
          <cell r="K133" t="str">
            <v>Уход за руками</v>
          </cell>
          <cell r="L133" t="str">
            <v>Красота и уход</v>
          </cell>
        </row>
        <row r="134">
          <cell r="J134" t="str">
            <v>Бальзам для рук</v>
          </cell>
          <cell r="K134" t="str">
            <v>Уход за руками</v>
          </cell>
          <cell r="L134" t="str">
            <v>Красота и уход</v>
          </cell>
        </row>
        <row r="135">
          <cell r="J135" t="str">
            <v>Крем для рук</v>
          </cell>
          <cell r="K135" t="str">
            <v>Уход за руками</v>
          </cell>
          <cell r="L135" t="str">
            <v>Красота и уход</v>
          </cell>
        </row>
        <row r="136">
          <cell r="J136" t="str">
            <v>Лосьон для рук</v>
          </cell>
          <cell r="K136" t="str">
            <v>Уход за руками</v>
          </cell>
          <cell r="L136" t="str">
            <v>Красота и уход</v>
          </cell>
        </row>
        <row r="137">
          <cell r="J137" t="str">
            <v>Антиперспирант</v>
          </cell>
          <cell r="K137" t="str">
            <v>Уход за телом</v>
          </cell>
          <cell r="L137" t="str">
            <v>Красота и уход</v>
          </cell>
        </row>
        <row r="138">
          <cell r="J138" t="str">
            <v>Гель для душа</v>
          </cell>
          <cell r="K138" t="str">
            <v>Уход за телом</v>
          </cell>
          <cell r="L138" t="str">
            <v>Красота и уход</v>
          </cell>
        </row>
        <row r="139">
          <cell r="J139" t="str">
            <v>Гель пена для душа</v>
          </cell>
          <cell r="K139" t="str">
            <v>Уход за телом</v>
          </cell>
          <cell r="L139" t="str">
            <v>Красота и уход</v>
          </cell>
        </row>
        <row r="140">
          <cell r="J140" t="str">
            <v>Дезодорант</v>
          </cell>
          <cell r="K140" t="str">
            <v>Уход за телом</v>
          </cell>
          <cell r="L140" t="str">
            <v>Красота и уход</v>
          </cell>
        </row>
        <row r="141">
          <cell r="J141" t="str">
            <v>Жидкое мыло</v>
          </cell>
          <cell r="K141" t="str">
            <v>Уход за телом</v>
          </cell>
          <cell r="L141" t="str">
            <v>Красота и уход</v>
          </cell>
        </row>
        <row r="142">
          <cell r="J142" t="str">
            <v>Крем для депиляции</v>
          </cell>
          <cell r="K142" t="str">
            <v>Уход за телом</v>
          </cell>
          <cell r="L142" t="str">
            <v>Красота и уход</v>
          </cell>
        </row>
        <row r="143">
          <cell r="J143" t="str">
            <v>Крем для тела</v>
          </cell>
          <cell r="K143" t="str">
            <v>Уход за телом</v>
          </cell>
          <cell r="L143" t="str">
            <v>Красота и уход</v>
          </cell>
        </row>
        <row r="144">
          <cell r="J144" t="str">
            <v>Лосьон для тела</v>
          </cell>
          <cell r="K144" t="str">
            <v>Уход за телом</v>
          </cell>
          <cell r="L144" t="str">
            <v>Красота и уход</v>
          </cell>
        </row>
        <row r="145">
          <cell r="J145" t="str">
            <v>Мыло туалетное</v>
          </cell>
          <cell r="K145" t="str">
            <v>Уход за телом</v>
          </cell>
          <cell r="L145" t="str">
            <v>Красота и уход</v>
          </cell>
        </row>
        <row r="146">
          <cell r="J146" t="str">
            <v>Пенка для душа</v>
          </cell>
          <cell r="K146" t="str">
            <v>Уход за телом</v>
          </cell>
          <cell r="L146" t="str">
            <v>Красота и уход</v>
          </cell>
        </row>
        <row r="147">
          <cell r="J147" t="str">
            <v>Спрей для тела</v>
          </cell>
          <cell r="K147" t="str">
            <v>Уход за телом</v>
          </cell>
          <cell r="L147" t="str">
            <v>Красота и уход</v>
          </cell>
        </row>
        <row r="148">
          <cell r="J148" t="str">
            <v>Гамаши</v>
          </cell>
          <cell r="K148" t="str">
            <v>Колготки и гамаши</v>
          </cell>
          <cell r="L148" t="str">
            <v>Нижнее белье</v>
          </cell>
        </row>
        <row r="149">
          <cell r="J149" t="str">
            <v>Капроновые колготки</v>
          </cell>
          <cell r="K149" t="str">
            <v>Колготки и гамаши</v>
          </cell>
          <cell r="L149" t="str">
            <v>Нижнее белье</v>
          </cell>
        </row>
        <row r="150">
          <cell r="J150" t="str">
            <v>Колготки</v>
          </cell>
          <cell r="K150" t="str">
            <v>Колготки и гамаши</v>
          </cell>
          <cell r="L150" t="str">
            <v>Нижнее белье</v>
          </cell>
        </row>
        <row r="151">
          <cell r="J151" t="str">
            <v>Бандаж</v>
          </cell>
          <cell r="K151" t="str">
            <v>Нижнее белье</v>
          </cell>
          <cell r="L151" t="str">
            <v>Нижнее белье</v>
          </cell>
        </row>
        <row r="152">
          <cell r="J152" t="str">
            <v>Бюстгальтер</v>
          </cell>
          <cell r="K152" t="str">
            <v>Нижнее белье</v>
          </cell>
          <cell r="L152" t="str">
            <v>Нижнее белье</v>
          </cell>
        </row>
        <row r="153">
          <cell r="J153" t="str">
            <v>Купальники</v>
          </cell>
          <cell r="K153" t="str">
            <v>Нижнее белье</v>
          </cell>
          <cell r="L153" t="str">
            <v>Нижнее белье</v>
          </cell>
        </row>
        <row r="154">
          <cell r="J154" t="str">
            <v>Майка</v>
          </cell>
          <cell r="K154" t="str">
            <v>Нижнее белье</v>
          </cell>
          <cell r="L154" t="str">
            <v>Нижнее белье</v>
          </cell>
        </row>
        <row r="155">
          <cell r="J155" t="str">
            <v>Майка борцовка</v>
          </cell>
          <cell r="K155" t="str">
            <v>Нижнее белье</v>
          </cell>
          <cell r="L155" t="str">
            <v>Нижнее белье</v>
          </cell>
        </row>
        <row r="156">
          <cell r="J156" t="str">
            <v>Майка и трусы</v>
          </cell>
          <cell r="K156" t="str">
            <v>Нижнее белье</v>
          </cell>
          <cell r="L156" t="str">
            <v>Нижнее белье</v>
          </cell>
        </row>
        <row r="157">
          <cell r="J157" t="str">
            <v>Майка и шорты</v>
          </cell>
          <cell r="K157" t="str">
            <v>Нижнее белье</v>
          </cell>
          <cell r="L157" t="str">
            <v>Нижнее белье</v>
          </cell>
        </row>
        <row r="158">
          <cell r="J158" t="str">
            <v>Майка и штаны</v>
          </cell>
          <cell r="K158" t="str">
            <v>Нижнее белье</v>
          </cell>
          <cell r="L158" t="str">
            <v>Нижнее белье</v>
          </cell>
        </row>
        <row r="159">
          <cell r="J159" t="str">
            <v>Майка лямка</v>
          </cell>
          <cell r="K159" t="str">
            <v>Нижнее белье</v>
          </cell>
          <cell r="L159" t="str">
            <v>Нижнее белье</v>
          </cell>
        </row>
        <row r="160">
          <cell r="J160" t="str">
            <v>Панталоны</v>
          </cell>
          <cell r="K160" t="str">
            <v>Нижнее белье</v>
          </cell>
          <cell r="L160" t="str">
            <v>Нижнее белье</v>
          </cell>
        </row>
        <row r="161">
          <cell r="J161" t="str">
            <v>Пеньюар</v>
          </cell>
          <cell r="K161" t="str">
            <v>Нижнее белье</v>
          </cell>
          <cell r="L161" t="str">
            <v>Нижнее белье</v>
          </cell>
        </row>
        <row r="162">
          <cell r="J162" t="str">
            <v>Плавки</v>
          </cell>
          <cell r="K162" t="str">
            <v>Нижнее белье</v>
          </cell>
          <cell r="L162" t="str">
            <v>Нижнее белье</v>
          </cell>
        </row>
        <row r="163">
          <cell r="J163" t="str">
            <v>Топик</v>
          </cell>
          <cell r="K163" t="str">
            <v>Нижнее белье</v>
          </cell>
          <cell r="L163" t="str">
            <v>Нижнее белье</v>
          </cell>
        </row>
        <row r="164">
          <cell r="J164" t="str">
            <v>Трусы</v>
          </cell>
          <cell r="K164" t="str">
            <v>Нижнее белье</v>
          </cell>
          <cell r="L164" t="str">
            <v>Нижнее белье</v>
          </cell>
        </row>
        <row r="165">
          <cell r="J165" t="str">
            <v>Трусы шорты</v>
          </cell>
          <cell r="K165" t="str">
            <v>Нижнее белье</v>
          </cell>
          <cell r="L165" t="str">
            <v>Нижнее белье</v>
          </cell>
        </row>
        <row r="166">
          <cell r="J166" t="str">
            <v>Пижама</v>
          </cell>
          <cell r="K166" t="str">
            <v>Пижамы и халаты</v>
          </cell>
          <cell r="L166" t="str">
            <v>Нижнее белье</v>
          </cell>
        </row>
        <row r="167">
          <cell r="J167" t="str">
            <v>Пижама тройка</v>
          </cell>
          <cell r="K167" t="str">
            <v>Пижамы и халаты</v>
          </cell>
          <cell r="L167" t="str">
            <v>Нижнее белье</v>
          </cell>
        </row>
        <row r="168">
          <cell r="J168" t="str">
            <v>Халат</v>
          </cell>
          <cell r="K168" t="str">
            <v>Пижамы и халаты</v>
          </cell>
          <cell r="L168" t="str">
            <v>Нижнее белье</v>
          </cell>
        </row>
        <row r="169">
          <cell r="J169" t="str">
            <v>Барсовка</v>
          </cell>
          <cell r="K169" t="str">
            <v>Кроссовки и кеды</v>
          </cell>
          <cell r="L169" t="str">
            <v>Обувь</v>
          </cell>
        </row>
        <row r="170">
          <cell r="J170" t="str">
            <v>Бутсы</v>
          </cell>
          <cell r="K170" t="str">
            <v>Кроссовки и кеды</v>
          </cell>
          <cell r="L170" t="str">
            <v>Обувь</v>
          </cell>
        </row>
        <row r="171">
          <cell r="J171" t="str">
            <v>Кеды</v>
          </cell>
          <cell r="K171" t="str">
            <v>Кроссовки и кеды</v>
          </cell>
          <cell r="L171" t="str">
            <v>Обувь</v>
          </cell>
        </row>
        <row r="172">
          <cell r="J172" t="str">
            <v>Кроссовки</v>
          </cell>
          <cell r="K172" t="str">
            <v>Кроссовки и кеды</v>
          </cell>
          <cell r="L172" t="str">
            <v>Обувь</v>
          </cell>
        </row>
        <row r="173">
          <cell r="J173" t="str">
            <v>Лоферы</v>
          </cell>
          <cell r="K173" t="str">
            <v>Мокасины и туфли</v>
          </cell>
          <cell r="L173" t="str">
            <v>Обувь</v>
          </cell>
        </row>
        <row r="174">
          <cell r="J174" t="str">
            <v>Мокасины</v>
          </cell>
          <cell r="K174" t="str">
            <v>Мокасины и туфли</v>
          </cell>
          <cell r="L174" t="str">
            <v>Обувь</v>
          </cell>
        </row>
        <row r="175">
          <cell r="J175" t="str">
            <v>Туфли</v>
          </cell>
          <cell r="K175" t="str">
            <v>Мокасины и туфли</v>
          </cell>
          <cell r="L175" t="str">
            <v>Обувь</v>
          </cell>
        </row>
        <row r="176">
          <cell r="J176" t="str">
            <v>Ботинки</v>
          </cell>
          <cell r="K176" t="str">
            <v>Сапоги</v>
          </cell>
          <cell r="L176" t="str">
            <v>Обувь</v>
          </cell>
        </row>
        <row r="177">
          <cell r="J177" t="str">
            <v>Домашние ботинки</v>
          </cell>
          <cell r="K177" t="str">
            <v>Сапоги</v>
          </cell>
          <cell r="L177" t="str">
            <v>Обувь</v>
          </cell>
        </row>
        <row r="178">
          <cell r="J178" t="str">
            <v>Полусапоги</v>
          </cell>
          <cell r="K178" t="str">
            <v>Сапоги</v>
          </cell>
          <cell r="L178" t="str">
            <v>Обувь</v>
          </cell>
        </row>
        <row r="179">
          <cell r="J179" t="str">
            <v>Сапоги</v>
          </cell>
          <cell r="K179" t="str">
            <v>Сапоги</v>
          </cell>
          <cell r="L179" t="str">
            <v>Обувь</v>
          </cell>
        </row>
        <row r="180">
          <cell r="J180" t="str">
            <v>Угги</v>
          </cell>
          <cell r="K180" t="str">
            <v>Сапоги</v>
          </cell>
          <cell r="L180" t="str">
            <v>Обувь</v>
          </cell>
        </row>
        <row r="181">
          <cell r="J181" t="str">
            <v>Босоножки</v>
          </cell>
          <cell r="K181" t="str">
            <v>Тапочки и босоножки</v>
          </cell>
          <cell r="L181" t="str">
            <v>Обувь</v>
          </cell>
        </row>
        <row r="182">
          <cell r="J182" t="str">
            <v>Домашние тапочки</v>
          </cell>
          <cell r="K182" t="str">
            <v>Тапочки и босоножки</v>
          </cell>
          <cell r="L182" t="str">
            <v>Обувь</v>
          </cell>
        </row>
        <row r="183">
          <cell r="J183" t="str">
            <v>Пантолеты</v>
          </cell>
          <cell r="K183" t="str">
            <v>Тапочки и босоножки</v>
          </cell>
          <cell r="L183" t="str">
            <v>Обувь</v>
          </cell>
        </row>
        <row r="184">
          <cell r="J184" t="str">
            <v>Сабо</v>
          </cell>
          <cell r="K184" t="str">
            <v>Тапочки и босоножки</v>
          </cell>
          <cell r="L184" t="str">
            <v>Обувь</v>
          </cell>
        </row>
        <row r="185">
          <cell r="J185" t="str">
            <v>Сланцы</v>
          </cell>
          <cell r="K185" t="str">
            <v>Тапочки и босоножки</v>
          </cell>
          <cell r="L185" t="str">
            <v>Обувь</v>
          </cell>
        </row>
        <row r="186">
          <cell r="J186" t="str">
            <v>Слипоны</v>
          </cell>
          <cell r="K186" t="str">
            <v>Тапочки и босоножки</v>
          </cell>
          <cell r="L186" t="str">
            <v>Обувь</v>
          </cell>
        </row>
        <row r="187">
          <cell r="J187" t="str">
            <v>Тапочки</v>
          </cell>
          <cell r="K187" t="str">
            <v>Тапочки и босоножки</v>
          </cell>
          <cell r="L187" t="str">
            <v>Обувь</v>
          </cell>
        </row>
        <row r="188">
          <cell r="J188" t="str">
            <v>Балетки</v>
          </cell>
          <cell r="K188" t="str">
            <v>Чешки и балетки</v>
          </cell>
          <cell r="L188" t="str">
            <v>Обувь</v>
          </cell>
        </row>
        <row r="189">
          <cell r="J189" t="str">
            <v>Чешки</v>
          </cell>
          <cell r="K189" t="str">
            <v>Чешки и балетки</v>
          </cell>
          <cell r="L189" t="str">
            <v>Обувь</v>
          </cell>
        </row>
        <row r="190">
          <cell r="J190" t="str">
            <v>Восстановитель обуви</v>
          </cell>
          <cell r="K190" t="str">
            <v>Уход за обувью</v>
          </cell>
          <cell r="L190" t="str">
            <v>Обувь</v>
          </cell>
        </row>
        <row r="191">
          <cell r="J191" t="str">
            <v>Губка для обуви</v>
          </cell>
          <cell r="K191" t="str">
            <v>Уход за обувью</v>
          </cell>
          <cell r="L191" t="str">
            <v>Обувь</v>
          </cell>
        </row>
        <row r="192">
          <cell r="J192" t="str">
            <v>Дезодорант для обуви</v>
          </cell>
          <cell r="K192" t="str">
            <v>Уход за обувью</v>
          </cell>
          <cell r="L192" t="str">
            <v>Обувь</v>
          </cell>
        </row>
        <row r="193">
          <cell r="J193" t="str">
            <v>Краска для кожи и курток</v>
          </cell>
          <cell r="K193" t="str">
            <v>Уход за обувью</v>
          </cell>
          <cell r="L193" t="str">
            <v>Обувь</v>
          </cell>
        </row>
        <row r="194">
          <cell r="J194" t="str">
            <v>Краска для обуви</v>
          </cell>
          <cell r="K194" t="str">
            <v>Уход за обувью</v>
          </cell>
          <cell r="L194" t="str">
            <v>Обувь</v>
          </cell>
        </row>
        <row r="195">
          <cell r="J195" t="str">
            <v>Крем для обуви</v>
          </cell>
          <cell r="K195" t="str">
            <v>Уход за обувью</v>
          </cell>
          <cell r="L195" t="str">
            <v>Обувь</v>
          </cell>
        </row>
        <row r="196">
          <cell r="J196" t="str">
            <v>Очиститель для обуви</v>
          </cell>
          <cell r="K196" t="str">
            <v>Уход за обувью</v>
          </cell>
          <cell r="L196" t="str">
            <v>Обувь</v>
          </cell>
        </row>
        <row r="197">
          <cell r="J197" t="str">
            <v>Растяжитель для обуви</v>
          </cell>
          <cell r="K197" t="str">
            <v>Уход за обувью</v>
          </cell>
          <cell r="L197" t="str">
            <v>Обувь</v>
          </cell>
        </row>
        <row r="198">
          <cell r="J198" t="str">
            <v>Спрей для обуви</v>
          </cell>
          <cell r="K198" t="str">
            <v>Уход за обувью</v>
          </cell>
          <cell r="L198" t="str">
            <v>Обувь</v>
          </cell>
        </row>
        <row r="199">
          <cell r="J199" t="str">
            <v>Стельки для обуви</v>
          </cell>
          <cell r="K199" t="str">
            <v>Уход за обувью</v>
          </cell>
          <cell r="L199" t="str">
            <v>Обувь</v>
          </cell>
        </row>
        <row r="200">
          <cell r="J200" t="str">
            <v>Щетка для обуви</v>
          </cell>
          <cell r="K200" t="str">
            <v>Уход за обувью</v>
          </cell>
          <cell r="L200" t="str">
            <v>Обувь</v>
          </cell>
        </row>
        <row r="201">
          <cell r="J201" t="str">
            <v>Рожок для обуви</v>
          </cell>
          <cell r="K201" t="str">
            <v>Уход за обувью</v>
          </cell>
          <cell r="L201" t="str">
            <v>Обувь</v>
          </cell>
        </row>
        <row r="202">
          <cell r="J202" t="str">
            <v>Аромадиффузор</v>
          </cell>
          <cell r="K202" t="str">
            <v>Диффузоры</v>
          </cell>
          <cell r="L202" t="str">
            <v>Красота и уход</v>
          </cell>
        </row>
        <row r="203">
          <cell r="J203" t="str">
            <v>Бойфренды</v>
          </cell>
          <cell r="K203" t="str">
            <v>Брюки</v>
          </cell>
          <cell r="L203" t="str">
            <v>Одежда Боттом</v>
          </cell>
        </row>
        <row r="204">
          <cell r="J204" t="str">
            <v>Брюки</v>
          </cell>
          <cell r="K204" t="str">
            <v>Брюки</v>
          </cell>
          <cell r="L204" t="str">
            <v>Одежда Боттом</v>
          </cell>
        </row>
        <row r="205">
          <cell r="J205" t="str">
            <v>Брюки полуклассика</v>
          </cell>
          <cell r="K205" t="str">
            <v>Брюки</v>
          </cell>
          <cell r="L205" t="str">
            <v>Одежда Боттом</v>
          </cell>
        </row>
        <row r="206">
          <cell r="J206" t="str">
            <v>Джинсы</v>
          </cell>
          <cell r="K206" t="str">
            <v>Брюки</v>
          </cell>
          <cell r="L206" t="str">
            <v>Одежда Боттом</v>
          </cell>
        </row>
        <row r="207">
          <cell r="J207" t="str">
            <v>Джоггеры</v>
          </cell>
          <cell r="K207" t="str">
            <v>Брюки</v>
          </cell>
          <cell r="L207" t="str">
            <v>Одежда Боттом</v>
          </cell>
        </row>
        <row r="208">
          <cell r="J208" t="str">
            <v>Классические брюки</v>
          </cell>
          <cell r="K208" t="str">
            <v>Брюки</v>
          </cell>
          <cell r="L208" t="str">
            <v>Одежда Боттом</v>
          </cell>
        </row>
        <row r="209">
          <cell r="J209" t="str">
            <v>Кюлоты</v>
          </cell>
          <cell r="K209" t="str">
            <v>Брюки</v>
          </cell>
          <cell r="L209" t="str">
            <v>Одежда Боттом</v>
          </cell>
        </row>
        <row r="210">
          <cell r="J210" t="str">
            <v>Лосины</v>
          </cell>
          <cell r="K210" t="str">
            <v>Брюки</v>
          </cell>
          <cell r="L210" t="str">
            <v>Одежда Боттом</v>
          </cell>
        </row>
        <row r="211">
          <cell r="J211" t="str">
            <v>Трико</v>
          </cell>
          <cell r="K211" t="str">
            <v>Брюки</v>
          </cell>
          <cell r="L211" t="str">
            <v>Одежда Боттом</v>
          </cell>
        </row>
        <row r="212">
          <cell r="J212" t="str">
            <v>Шаровары</v>
          </cell>
          <cell r="K212" t="str">
            <v>Брюки</v>
          </cell>
          <cell r="L212" t="str">
            <v>Одежда Боттом</v>
          </cell>
        </row>
        <row r="213">
          <cell r="J213" t="str">
            <v>Штаны</v>
          </cell>
          <cell r="K213" t="str">
            <v>Брюки</v>
          </cell>
          <cell r="L213" t="str">
            <v>Одежда Боттом</v>
          </cell>
        </row>
        <row r="214">
          <cell r="J214" t="str">
            <v>Бриджи</v>
          </cell>
          <cell r="K214" t="str">
            <v>Шорты</v>
          </cell>
          <cell r="L214" t="str">
            <v>Одежда Боттом</v>
          </cell>
        </row>
        <row r="215">
          <cell r="J215" t="str">
            <v>Капри</v>
          </cell>
          <cell r="K215" t="str">
            <v>Шорты</v>
          </cell>
          <cell r="L215" t="str">
            <v>Одежда Боттом</v>
          </cell>
        </row>
        <row r="216">
          <cell r="J216" t="str">
            <v>Шорты</v>
          </cell>
          <cell r="K216" t="str">
            <v>Шорты</v>
          </cell>
          <cell r="L216" t="str">
            <v>Одежда Боттом</v>
          </cell>
        </row>
        <row r="217">
          <cell r="J217" t="str">
            <v>Юбка</v>
          </cell>
          <cell r="K217" t="str">
            <v>Юбки</v>
          </cell>
          <cell r="L217" t="str">
            <v>Одежда Боттом</v>
          </cell>
        </row>
        <row r="218">
          <cell r="J218" t="str">
            <v>Юбка брюки</v>
          </cell>
          <cell r="K218" t="str">
            <v>Юбки</v>
          </cell>
          <cell r="L218" t="str">
            <v>Одежда Боттом</v>
          </cell>
        </row>
        <row r="219">
          <cell r="J219" t="str">
            <v>Блузка и юбка</v>
          </cell>
          <cell r="K219" t="str">
            <v>Комплект двойки</v>
          </cell>
          <cell r="L219" t="str">
            <v>Одежда комплект</v>
          </cell>
        </row>
        <row r="220">
          <cell r="J220" t="str">
            <v>Боди и штаны</v>
          </cell>
          <cell r="K220" t="str">
            <v>Комплект двойки</v>
          </cell>
          <cell r="L220" t="str">
            <v>Одежда комплект</v>
          </cell>
        </row>
        <row r="221">
          <cell r="J221" t="str">
            <v>Ветровка и штаны</v>
          </cell>
          <cell r="K221" t="str">
            <v>Комплект двойки</v>
          </cell>
          <cell r="L221" t="str">
            <v>Одежда комплект</v>
          </cell>
        </row>
        <row r="222">
          <cell r="J222" t="str">
            <v>Ветровка и юбка</v>
          </cell>
          <cell r="K222" t="str">
            <v>Комплект двойки</v>
          </cell>
          <cell r="L222" t="str">
            <v>Одежда комплект</v>
          </cell>
        </row>
        <row r="223">
          <cell r="J223" t="str">
            <v>Водолазка и сарафан</v>
          </cell>
          <cell r="K223" t="str">
            <v>Комплект двойки</v>
          </cell>
          <cell r="L223" t="str">
            <v>Одежда комплект</v>
          </cell>
        </row>
        <row r="224">
          <cell r="J224" t="str">
            <v>Двойка</v>
          </cell>
          <cell r="K224" t="str">
            <v>Комплект двойки</v>
          </cell>
          <cell r="L224" t="str">
            <v>Одежда комплект</v>
          </cell>
        </row>
        <row r="225">
          <cell r="J225" t="str">
            <v>Джемпер и брюки</v>
          </cell>
          <cell r="K225" t="str">
            <v>Комплект двойки</v>
          </cell>
          <cell r="L225" t="str">
            <v>Одежда комплект</v>
          </cell>
        </row>
        <row r="226">
          <cell r="J226" t="str">
            <v>Жакет и юбка</v>
          </cell>
          <cell r="K226" t="str">
            <v>Комплект двойки</v>
          </cell>
          <cell r="L226" t="str">
            <v>Одежда комплект</v>
          </cell>
        </row>
        <row r="227">
          <cell r="J227" t="str">
            <v>Жилет и брюки</v>
          </cell>
          <cell r="K227" t="str">
            <v>Комплект двойки</v>
          </cell>
          <cell r="L227" t="str">
            <v>Одежда комплект</v>
          </cell>
        </row>
        <row r="228">
          <cell r="J228" t="str">
            <v>Жилет и юбка</v>
          </cell>
          <cell r="K228" t="str">
            <v>Комплект двойки</v>
          </cell>
          <cell r="L228" t="str">
            <v>Одежда комплект</v>
          </cell>
        </row>
        <row r="229">
          <cell r="J229" t="str">
            <v>Кардиган и туника</v>
          </cell>
          <cell r="K229" t="str">
            <v>Комплект двойки</v>
          </cell>
          <cell r="L229" t="str">
            <v>Одежда комплект</v>
          </cell>
        </row>
        <row r="230">
          <cell r="J230" t="str">
            <v>Костюм и жакет</v>
          </cell>
          <cell r="K230" t="str">
            <v>Комплект двойки</v>
          </cell>
          <cell r="L230" t="str">
            <v>Одежда комплект</v>
          </cell>
        </row>
        <row r="231">
          <cell r="J231" t="str">
            <v>Костюм и платье</v>
          </cell>
          <cell r="K231" t="str">
            <v>Комплект двойки</v>
          </cell>
          <cell r="L231" t="str">
            <v>Одежда комплект</v>
          </cell>
        </row>
        <row r="232">
          <cell r="J232" t="str">
            <v>Костюм и рубашка</v>
          </cell>
          <cell r="K232" t="str">
            <v>Комплект двойки</v>
          </cell>
          <cell r="L232" t="str">
            <v>Одежда комплект</v>
          </cell>
        </row>
        <row r="233">
          <cell r="J233" t="str">
            <v>Кофта и брюки</v>
          </cell>
          <cell r="K233" t="str">
            <v>Комплект двойки</v>
          </cell>
          <cell r="L233" t="str">
            <v>Одежда комплект</v>
          </cell>
        </row>
        <row r="234">
          <cell r="J234" t="str">
            <v>Кофта и комбинезон</v>
          </cell>
          <cell r="K234" t="str">
            <v>Комплект двойки</v>
          </cell>
          <cell r="L234" t="str">
            <v>Одежда комплект</v>
          </cell>
        </row>
        <row r="235">
          <cell r="J235" t="str">
            <v>Кофта и лосины</v>
          </cell>
          <cell r="K235" t="str">
            <v>Комплект двойки</v>
          </cell>
          <cell r="L235" t="str">
            <v>Одежда комплект</v>
          </cell>
        </row>
        <row r="236">
          <cell r="J236" t="str">
            <v>Кофта и майка</v>
          </cell>
          <cell r="K236" t="str">
            <v>Комплект двойки</v>
          </cell>
          <cell r="L236" t="str">
            <v>Одежда комплект</v>
          </cell>
        </row>
        <row r="237">
          <cell r="J237" t="str">
            <v>Кофта и накидка</v>
          </cell>
          <cell r="K237" t="str">
            <v>Комплект двойки</v>
          </cell>
          <cell r="L237" t="str">
            <v>Одежда комплект</v>
          </cell>
        </row>
        <row r="238">
          <cell r="J238" t="str">
            <v>Кофта и ползунки</v>
          </cell>
          <cell r="K238" t="str">
            <v>Комплект двойки</v>
          </cell>
          <cell r="L238" t="str">
            <v>Одежда комплект</v>
          </cell>
        </row>
        <row r="239">
          <cell r="J239" t="str">
            <v>Кофта и сарафан</v>
          </cell>
          <cell r="K239" t="str">
            <v>Комплект двойки</v>
          </cell>
          <cell r="L239" t="str">
            <v>Одежда комплект</v>
          </cell>
        </row>
        <row r="240">
          <cell r="J240" t="str">
            <v>Кофта и шорты</v>
          </cell>
          <cell r="K240" t="str">
            <v>Комплект двойки</v>
          </cell>
          <cell r="L240" t="str">
            <v>Одежда комплект</v>
          </cell>
        </row>
        <row r="241">
          <cell r="J241" t="str">
            <v>Кофта и штаны</v>
          </cell>
          <cell r="K241" t="str">
            <v>Комплект двойки</v>
          </cell>
          <cell r="L241" t="str">
            <v>Одежда комплект</v>
          </cell>
        </row>
        <row r="242">
          <cell r="J242" t="str">
            <v>Кофта и юбка</v>
          </cell>
          <cell r="K242" t="str">
            <v>Комплект двойки</v>
          </cell>
          <cell r="L242" t="str">
            <v>Одежда комплект</v>
          </cell>
        </row>
        <row r="243">
          <cell r="J243" t="str">
            <v>Куртка и брюки</v>
          </cell>
          <cell r="K243" t="str">
            <v>Комплект двойки</v>
          </cell>
          <cell r="L243" t="str">
            <v>Одежда комплект</v>
          </cell>
        </row>
        <row r="244">
          <cell r="J244" t="str">
            <v>Платье и болеро</v>
          </cell>
          <cell r="K244" t="str">
            <v>Комплект двойки</v>
          </cell>
          <cell r="L244" t="str">
            <v>Одежда комплект</v>
          </cell>
        </row>
        <row r="245">
          <cell r="J245" t="str">
            <v>Платье и жакет</v>
          </cell>
          <cell r="K245" t="str">
            <v>Комплект двойки</v>
          </cell>
          <cell r="L245" t="str">
            <v>Одежда комплект</v>
          </cell>
        </row>
        <row r="246">
          <cell r="J246" t="str">
            <v>Платье и лосины</v>
          </cell>
          <cell r="K246" t="str">
            <v>Комплект двойки</v>
          </cell>
          <cell r="L246" t="str">
            <v>Одежда комплект</v>
          </cell>
        </row>
        <row r="247">
          <cell r="J247" t="str">
            <v>Платье и накидка</v>
          </cell>
          <cell r="K247" t="str">
            <v>Комплект двойки</v>
          </cell>
          <cell r="L247" t="str">
            <v>Одежда комплект</v>
          </cell>
        </row>
        <row r="248">
          <cell r="J248" t="str">
            <v>Платье и сарафан</v>
          </cell>
          <cell r="K248" t="str">
            <v>Комплект двойки</v>
          </cell>
          <cell r="L248" t="str">
            <v>Одежда комплект</v>
          </cell>
        </row>
        <row r="249">
          <cell r="J249" t="str">
            <v>Платье и свитер</v>
          </cell>
          <cell r="K249" t="str">
            <v>Комплект двойки</v>
          </cell>
          <cell r="L249" t="str">
            <v>Одежда комплект</v>
          </cell>
        </row>
        <row r="250">
          <cell r="J250" t="str">
            <v>Платье и трусы</v>
          </cell>
          <cell r="K250" t="str">
            <v>Комплект двойки</v>
          </cell>
          <cell r="L250" t="str">
            <v>Одежда комплект</v>
          </cell>
        </row>
        <row r="251">
          <cell r="J251" t="str">
            <v>Платье и шорты</v>
          </cell>
          <cell r="K251" t="str">
            <v>Комплект двойки</v>
          </cell>
          <cell r="L251" t="str">
            <v>Одежда комплект</v>
          </cell>
        </row>
        <row r="252">
          <cell r="J252" t="str">
            <v>Платье и штаны</v>
          </cell>
          <cell r="K252" t="str">
            <v>Комплект двойки</v>
          </cell>
          <cell r="L252" t="str">
            <v>Одежда комплект</v>
          </cell>
        </row>
        <row r="253">
          <cell r="J253" t="str">
            <v>Рубашка и брюки</v>
          </cell>
          <cell r="K253" t="str">
            <v>Комплект двойки</v>
          </cell>
          <cell r="L253" t="str">
            <v>Одежда комплект</v>
          </cell>
        </row>
        <row r="254">
          <cell r="J254" t="str">
            <v>Рубашка и комбинезон</v>
          </cell>
          <cell r="K254" t="str">
            <v>Комплект двойки</v>
          </cell>
          <cell r="L254" t="str">
            <v>Одежда комплект</v>
          </cell>
        </row>
        <row r="255">
          <cell r="J255" t="str">
            <v>Рубашка и лямка</v>
          </cell>
          <cell r="K255" t="str">
            <v>Комплект двойки</v>
          </cell>
          <cell r="L255" t="str">
            <v>Одежда комплект</v>
          </cell>
        </row>
        <row r="256">
          <cell r="J256" t="str">
            <v>Рубашка и сумка</v>
          </cell>
          <cell r="K256" t="str">
            <v>Комплект двойки</v>
          </cell>
          <cell r="L256" t="str">
            <v>Одежда комплект</v>
          </cell>
        </row>
        <row r="257">
          <cell r="J257" t="str">
            <v>Рубашка и футболка</v>
          </cell>
          <cell r="K257" t="str">
            <v>Комплект двойки</v>
          </cell>
          <cell r="L257" t="str">
            <v>Одежда комплект</v>
          </cell>
        </row>
        <row r="258">
          <cell r="J258" t="str">
            <v>Рубашка и шорты</v>
          </cell>
          <cell r="K258" t="str">
            <v>Комплект двойки</v>
          </cell>
          <cell r="L258" t="str">
            <v>Одежда комплект</v>
          </cell>
        </row>
        <row r="259">
          <cell r="J259" t="str">
            <v>Рубашка и штаны</v>
          </cell>
          <cell r="K259" t="str">
            <v>Комплект двойки</v>
          </cell>
          <cell r="L259" t="str">
            <v>Одежда комплект</v>
          </cell>
        </row>
        <row r="260">
          <cell r="J260" t="str">
            <v>Сарафан и штаны</v>
          </cell>
          <cell r="K260" t="str">
            <v>Комплект двойки</v>
          </cell>
          <cell r="L260" t="str">
            <v>Одежда комплект</v>
          </cell>
        </row>
        <row r="261">
          <cell r="J261" t="str">
            <v>Свитер и джинсы</v>
          </cell>
          <cell r="K261" t="str">
            <v>Комплект двойки</v>
          </cell>
          <cell r="L261" t="str">
            <v>Одежда комплект</v>
          </cell>
        </row>
        <row r="262">
          <cell r="J262" t="str">
            <v>Свитер и комбинезон</v>
          </cell>
          <cell r="K262" t="str">
            <v>Комплект двойки</v>
          </cell>
          <cell r="L262" t="str">
            <v>Одежда комплект</v>
          </cell>
        </row>
        <row r="263">
          <cell r="J263" t="str">
            <v>Свитер и кюлот</v>
          </cell>
          <cell r="K263" t="str">
            <v>Комплект двойки</v>
          </cell>
          <cell r="L263" t="str">
            <v>Одежда комплект</v>
          </cell>
        </row>
        <row r="264">
          <cell r="J264" t="str">
            <v>Свитер и штаны</v>
          </cell>
          <cell r="K264" t="str">
            <v>Комплект двойки</v>
          </cell>
          <cell r="L264" t="str">
            <v>Одежда комплект</v>
          </cell>
        </row>
        <row r="265">
          <cell r="J265" t="str">
            <v>Толстовка и штаны</v>
          </cell>
          <cell r="K265" t="str">
            <v>Комплект двойки</v>
          </cell>
          <cell r="L265" t="str">
            <v>Одежда комплект</v>
          </cell>
        </row>
        <row r="266">
          <cell r="J266" t="str">
            <v>Туника и брюки</v>
          </cell>
          <cell r="K266" t="str">
            <v>Комплект двойки</v>
          </cell>
          <cell r="L266" t="str">
            <v>Одежда комплект</v>
          </cell>
        </row>
        <row r="267">
          <cell r="J267" t="str">
            <v>Туника и лосины</v>
          </cell>
          <cell r="K267" t="str">
            <v>Комплект двойки</v>
          </cell>
          <cell r="L267" t="str">
            <v>Одежда комплект</v>
          </cell>
        </row>
        <row r="268">
          <cell r="J268" t="str">
            <v>Туника и лямка</v>
          </cell>
          <cell r="K268" t="str">
            <v>Комплект двойки</v>
          </cell>
          <cell r="L268" t="str">
            <v>Одежда комплект</v>
          </cell>
        </row>
        <row r="269">
          <cell r="J269" t="str">
            <v>Футболка и брюки</v>
          </cell>
          <cell r="K269" t="str">
            <v>Комплект двойки</v>
          </cell>
          <cell r="L269" t="str">
            <v>Одежда комплект</v>
          </cell>
        </row>
        <row r="270">
          <cell r="J270" t="str">
            <v>Футболка и комбинезон</v>
          </cell>
          <cell r="K270" t="str">
            <v>Комплект двойки</v>
          </cell>
          <cell r="L270" t="str">
            <v>Одежда комплект</v>
          </cell>
        </row>
        <row r="271">
          <cell r="J271" t="str">
            <v>Футболка и майка</v>
          </cell>
          <cell r="K271" t="str">
            <v>Комплект двойки</v>
          </cell>
          <cell r="L271" t="str">
            <v>Одежда комплект</v>
          </cell>
        </row>
        <row r="272">
          <cell r="J272" t="str">
            <v>Футболка и сарафан</v>
          </cell>
          <cell r="K272" t="str">
            <v>Комплект двойки</v>
          </cell>
          <cell r="L272" t="str">
            <v>Одежда комплект</v>
          </cell>
        </row>
        <row r="273">
          <cell r="J273" t="str">
            <v>Футболка и туника</v>
          </cell>
          <cell r="K273" t="str">
            <v>Комплект двойки</v>
          </cell>
          <cell r="L273" t="str">
            <v>Одежда комплект</v>
          </cell>
        </row>
        <row r="274">
          <cell r="J274" t="str">
            <v>Футболка и шорты</v>
          </cell>
          <cell r="K274" t="str">
            <v>Комплект двойки</v>
          </cell>
          <cell r="L274" t="str">
            <v>Одежда комплект</v>
          </cell>
        </row>
        <row r="275">
          <cell r="J275" t="str">
            <v>Футболка и штаны</v>
          </cell>
          <cell r="K275" t="str">
            <v>Комплект двойки</v>
          </cell>
          <cell r="L275" t="str">
            <v>Одежда комплект</v>
          </cell>
        </row>
        <row r="276">
          <cell r="J276" t="str">
            <v>Халат и ползунки</v>
          </cell>
          <cell r="K276" t="str">
            <v>Комплект двойки</v>
          </cell>
          <cell r="L276" t="str">
            <v>Одежда комплект</v>
          </cell>
        </row>
        <row r="277">
          <cell r="J277" t="str">
            <v>Халат и штаны</v>
          </cell>
          <cell r="K277" t="str">
            <v>Комплект двойки</v>
          </cell>
          <cell r="L277" t="str">
            <v>Одежда комплект</v>
          </cell>
        </row>
        <row r="278">
          <cell r="J278" t="str">
            <v>Худи и штаны</v>
          </cell>
          <cell r="K278" t="str">
            <v>Комплект двойки</v>
          </cell>
          <cell r="L278" t="str">
            <v>Одежда комплект</v>
          </cell>
        </row>
        <row r="279">
          <cell r="J279" t="str">
            <v>Ветровка, боди и штаны</v>
          </cell>
          <cell r="K279" t="str">
            <v>Комплект тройки</v>
          </cell>
          <cell r="L279" t="str">
            <v>Одежда комплект</v>
          </cell>
        </row>
        <row r="280">
          <cell r="J280" t="str">
            <v>Ветровка, брюк и кофта</v>
          </cell>
          <cell r="K280" t="str">
            <v>Комплект тройки</v>
          </cell>
          <cell r="L280" t="str">
            <v>Одежда комплект</v>
          </cell>
        </row>
        <row r="281">
          <cell r="J281" t="str">
            <v>Ветровка, толстовка и штаны</v>
          </cell>
          <cell r="K281" t="str">
            <v>Комплект тройки</v>
          </cell>
          <cell r="L281" t="str">
            <v>Одежда комплект</v>
          </cell>
        </row>
        <row r="282">
          <cell r="J282" t="str">
            <v>Ветровка, футболка и брюки</v>
          </cell>
          <cell r="K282" t="str">
            <v>Комплект тройки</v>
          </cell>
          <cell r="L282" t="str">
            <v>Одежда комплект</v>
          </cell>
        </row>
        <row r="283">
          <cell r="J283" t="str">
            <v>Ветровка, футболка и трико</v>
          </cell>
          <cell r="K283" t="str">
            <v>Комплект тройки</v>
          </cell>
          <cell r="L283" t="str">
            <v>Одежда комплект</v>
          </cell>
        </row>
        <row r="284">
          <cell r="J284" t="str">
            <v>Ветровка, футболка и штаны</v>
          </cell>
          <cell r="K284" t="str">
            <v>Комплект тройки</v>
          </cell>
          <cell r="L284" t="str">
            <v>Одежда комплект</v>
          </cell>
        </row>
        <row r="285">
          <cell r="J285" t="str">
            <v>Жакет, рубашка и брюки</v>
          </cell>
          <cell r="K285" t="str">
            <v>Комплект тройки</v>
          </cell>
          <cell r="L285" t="str">
            <v>Одежда комплект</v>
          </cell>
        </row>
        <row r="286">
          <cell r="J286" t="str">
            <v>Жилетка, рубашка и шорты</v>
          </cell>
          <cell r="K286" t="str">
            <v>Комплект тройки</v>
          </cell>
          <cell r="L286" t="str">
            <v>Одежда комплект</v>
          </cell>
        </row>
        <row r="287">
          <cell r="J287" t="str">
            <v>Жилетка, рубашка и юбка</v>
          </cell>
          <cell r="K287" t="str">
            <v>Комплект тройки</v>
          </cell>
          <cell r="L287" t="str">
            <v>Одежда комплект</v>
          </cell>
        </row>
        <row r="288">
          <cell r="J288" t="str">
            <v>Костюм, боди и брюки</v>
          </cell>
          <cell r="K288" t="str">
            <v>Комплект тройки</v>
          </cell>
          <cell r="L288" t="str">
            <v>Одежда комплект</v>
          </cell>
        </row>
        <row r="289">
          <cell r="J289" t="str">
            <v>Костюм, брюк и кофта</v>
          </cell>
          <cell r="K289" t="str">
            <v>Комплект тройки</v>
          </cell>
          <cell r="L289" t="str">
            <v>Одежда комплект</v>
          </cell>
        </row>
        <row r="290">
          <cell r="J290" t="str">
            <v>Костюм, брюк и футболка</v>
          </cell>
          <cell r="K290" t="str">
            <v>Комплект тройки</v>
          </cell>
          <cell r="L290" t="str">
            <v>Одежда комплект</v>
          </cell>
        </row>
        <row r="291">
          <cell r="J291" t="str">
            <v>Кофта, джемпер и юбка</v>
          </cell>
          <cell r="K291" t="str">
            <v>Комплект тройки</v>
          </cell>
          <cell r="L291" t="str">
            <v>Одежда комплект</v>
          </cell>
        </row>
        <row r="292">
          <cell r="J292" t="str">
            <v>Кофта, жакет и брюки</v>
          </cell>
          <cell r="K292" t="str">
            <v>Комплект тройки</v>
          </cell>
          <cell r="L292" t="str">
            <v>Одежда комплект</v>
          </cell>
        </row>
        <row r="293">
          <cell r="J293" t="str">
            <v>Кофта, жакет и шорты</v>
          </cell>
          <cell r="K293" t="str">
            <v>Комплект тройки</v>
          </cell>
          <cell r="L293" t="str">
            <v>Одежда комплект</v>
          </cell>
        </row>
        <row r="294">
          <cell r="J294" t="str">
            <v>Кофта, жакет и юбка</v>
          </cell>
          <cell r="K294" t="str">
            <v>Комплект тройки</v>
          </cell>
          <cell r="L294" t="str">
            <v>Одежда комплект</v>
          </cell>
        </row>
        <row r="295">
          <cell r="J295" t="str">
            <v>Кофта, майка и шорты</v>
          </cell>
          <cell r="K295" t="str">
            <v>Комплект тройки</v>
          </cell>
          <cell r="L295" t="str">
            <v>Одежда комплект</v>
          </cell>
        </row>
        <row r="296">
          <cell r="J296" t="str">
            <v>Кофта, накидка и брюки</v>
          </cell>
          <cell r="K296" t="str">
            <v>Комплект тройки</v>
          </cell>
          <cell r="L296" t="str">
            <v>Одежда комплект</v>
          </cell>
        </row>
        <row r="297">
          <cell r="J297" t="str">
            <v>Кофта, штаны и шорты</v>
          </cell>
          <cell r="K297" t="str">
            <v>Комплект тройки</v>
          </cell>
          <cell r="L297" t="str">
            <v>Одежда комплект</v>
          </cell>
        </row>
        <row r="298">
          <cell r="J298" t="str">
            <v>Куртка, футболка и брюки</v>
          </cell>
          <cell r="K298" t="str">
            <v>Комплект тройки</v>
          </cell>
          <cell r="L298" t="str">
            <v>Одежда комплект</v>
          </cell>
        </row>
        <row r="299">
          <cell r="J299" t="str">
            <v>Платье, футболка и штаны</v>
          </cell>
          <cell r="K299" t="str">
            <v>Комплект тройки</v>
          </cell>
          <cell r="L299" t="str">
            <v>Одежда комплект</v>
          </cell>
        </row>
        <row r="300">
          <cell r="J300" t="str">
            <v>Распашонка, боди и ползунки</v>
          </cell>
          <cell r="K300" t="str">
            <v>Комплект тройки</v>
          </cell>
          <cell r="L300" t="str">
            <v>Одежда комплект</v>
          </cell>
        </row>
        <row r="301">
          <cell r="J301" t="str">
            <v>Рубашка, костюм и брюки</v>
          </cell>
          <cell r="K301" t="str">
            <v>Комплект тройки</v>
          </cell>
          <cell r="L301" t="str">
            <v>Одежда комплект</v>
          </cell>
        </row>
        <row r="302">
          <cell r="J302" t="str">
            <v>Рубашка, майка и брюки</v>
          </cell>
          <cell r="K302" t="str">
            <v>Комплект тройки</v>
          </cell>
          <cell r="L302" t="str">
            <v>Одежда комплект</v>
          </cell>
        </row>
        <row r="303">
          <cell r="J303" t="str">
            <v>Рубашка, майка и шорты</v>
          </cell>
          <cell r="K303" t="str">
            <v>Комплект тройки</v>
          </cell>
          <cell r="L303" t="str">
            <v>Одежда комплект</v>
          </cell>
        </row>
        <row r="304">
          <cell r="J304" t="str">
            <v>Рубашка, футболка и брюки</v>
          </cell>
          <cell r="K304" t="str">
            <v>Комплект тройки</v>
          </cell>
          <cell r="L304" t="str">
            <v>Одежда комплект</v>
          </cell>
        </row>
        <row r="305">
          <cell r="J305" t="str">
            <v>Рубашка, футболка и шорты</v>
          </cell>
          <cell r="K305" t="str">
            <v>Комплект тройки</v>
          </cell>
          <cell r="L305" t="str">
            <v>Одежда комплект</v>
          </cell>
        </row>
        <row r="306">
          <cell r="J306" t="str">
            <v>Свитер, безруркавка и штаны</v>
          </cell>
          <cell r="K306" t="str">
            <v>Комплект тройки</v>
          </cell>
          <cell r="L306" t="str">
            <v>Одежда комплект</v>
          </cell>
        </row>
        <row r="307">
          <cell r="J307" t="str">
            <v>Свитер, майка и штаны</v>
          </cell>
          <cell r="K307" t="str">
            <v>Комплект тройки</v>
          </cell>
          <cell r="L307" t="str">
            <v>Одежда комплект</v>
          </cell>
        </row>
        <row r="308">
          <cell r="J308" t="str">
            <v>Свитер, рубашка и брюки</v>
          </cell>
          <cell r="K308" t="str">
            <v>Комплект тройки</v>
          </cell>
          <cell r="L308" t="str">
            <v>Одежда комплект</v>
          </cell>
        </row>
        <row r="309">
          <cell r="J309" t="str">
            <v>Толстовка, жилет и брюки</v>
          </cell>
          <cell r="K309" t="str">
            <v>Комплект тройки</v>
          </cell>
          <cell r="L309" t="str">
            <v>Одежда комплект</v>
          </cell>
        </row>
        <row r="310">
          <cell r="J310" t="str">
            <v>Толстовка, майка и штаны</v>
          </cell>
          <cell r="K310" t="str">
            <v>Комплект тройки</v>
          </cell>
          <cell r="L310" t="str">
            <v>Одежда комплект</v>
          </cell>
        </row>
        <row r="311">
          <cell r="J311" t="str">
            <v>Тройка</v>
          </cell>
          <cell r="K311" t="str">
            <v>Комплект тройки</v>
          </cell>
          <cell r="L311" t="str">
            <v>Одежда комплект</v>
          </cell>
        </row>
        <row r="312">
          <cell r="J312" t="str">
            <v>Футболка, жакет и брюки</v>
          </cell>
          <cell r="K312" t="str">
            <v>Комплект тройки</v>
          </cell>
          <cell r="L312" t="str">
            <v>Одежда комплект</v>
          </cell>
        </row>
        <row r="313">
          <cell r="J313" t="str">
            <v>Футболка, жакет и шорты</v>
          </cell>
          <cell r="K313" t="str">
            <v>Комплект тройки</v>
          </cell>
          <cell r="L313" t="str">
            <v>Одежда комплект</v>
          </cell>
        </row>
        <row r="314">
          <cell r="J314" t="str">
            <v>Футболка, жакет и штаны</v>
          </cell>
          <cell r="K314" t="str">
            <v>Комплект тройки</v>
          </cell>
          <cell r="L314" t="str">
            <v>Одежда комплект</v>
          </cell>
        </row>
        <row r="315">
          <cell r="J315" t="str">
            <v>Футболка, майка и брюки</v>
          </cell>
          <cell r="K315" t="str">
            <v>Комплект тройки</v>
          </cell>
          <cell r="L315" t="str">
            <v>Одежда комплект</v>
          </cell>
        </row>
        <row r="316">
          <cell r="J316" t="str">
            <v>Халат, сорочка и штаны</v>
          </cell>
          <cell r="K316" t="str">
            <v>Комплект тройки</v>
          </cell>
          <cell r="L316" t="str">
            <v>Одежда комплект</v>
          </cell>
        </row>
        <row r="317">
          <cell r="J317" t="str">
            <v>Халат, штаны и шорты</v>
          </cell>
          <cell r="K317" t="str">
            <v>Комплект тройки</v>
          </cell>
          <cell r="L317" t="str">
            <v>Одежда комплект</v>
          </cell>
        </row>
        <row r="318">
          <cell r="J318" t="str">
            <v>Костюм</v>
          </cell>
          <cell r="K318" t="str">
            <v>Костюмы</v>
          </cell>
          <cell r="L318" t="str">
            <v>Одежда комплект</v>
          </cell>
        </row>
        <row r="319">
          <cell r="J319" t="str">
            <v>Костюм героя</v>
          </cell>
          <cell r="K319" t="str">
            <v>Костюмы</v>
          </cell>
          <cell r="L319" t="str">
            <v>Одежда комплект</v>
          </cell>
        </row>
        <row r="320">
          <cell r="J320" t="str">
            <v>Костюм и брюки</v>
          </cell>
          <cell r="K320" t="str">
            <v>Костюмы</v>
          </cell>
          <cell r="L320" t="str">
            <v>Одежда комплект</v>
          </cell>
        </row>
        <row r="321">
          <cell r="J321" t="str">
            <v>Костюм и юбка</v>
          </cell>
          <cell r="K321" t="str">
            <v>Костюмы</v>
          </cell>
          <cell r="L321" t="str">
            <v>Одежда комплект</v>
          </cell>
        </row>
        <row r="322">
          <cell r="J322" t="str">
            <v>Спортивка двойка</v>
          </cell>
          <cell r="K322" t="str">
            <v>Спортивная одежда</v>
          </cell>
          <cell r="L322" t="str">
            <v>Одежда комплект</v>
          </cell>
        </row>
        <row r="323">
          <cell r="J323" t="str">
            <v>Спортивка тройка</v>
          </cell>
          <cell r="K323" t="str">
            <v>Спортивная одежда</v>
          </cell>
          <cell r="L323" t="str">
            <v>Одежда комплект</v>
          </cell>
        </row>
        <row r="324">
          <cell r="J324" t="str">
            <v>Блузка</v>
          </cell>
          <cell r="K324" t="str">
            <v>Блузки и кофты</v>
          </cell>
          <cell r="L324" t="str">
            <v>Одежда Топ</v>
          </cell>
        </row>
        <row r="325">
          <cell r="J325" t="str">
            <v>Кофта</v>
          </cell>
          <cell r="K325" t="str">
            <v>Блузки и кофты</v>
          </cell>
          <cell r="L325" t="str">
            <v>Одежда Топ</v>
          </cell>
        </row>
        <row r="326">
          <cell r="J326" t="str">
            <v>Туника</v>
          </cell>
          <cell r="K326" t="str">
            <v>Блузки и кофты</v>
          </cell>
          <cell r="L326" t="str">
            <v>Одежда Топ</v>
          </cell>
        </row>
        <row r="327">
          <cell r="J327" t="str">
            <v>Платье</v>
          </cell>
          <cell r="K327" t="str">
            <v>Платья и сарафаны</v>
          </cell>
          <cell r="L327" t="str">
            <v>Одежда Топ</v>
          </cell>
        </row>
        <row r="328">
          <cell r="J328" t="str">
            <v>Сарафан</v>
          </cell>
          <cell r="K328" t="str">
            <v>Платья и сарафаны</v>
          </cell>
          <cell r="L328" t="str">
            <v>Одежда Топ</v>
          </cell>
        </row>
        <row r="329">
          <cell r="J329" t="str">
            <v>Рубашка</v>
          </cell>
          <cell r="K329" t="str">
            <v>Рубашки</v>
          </cell>
          <cell r="L329" t="str">
            <v>Одежда Топ</v>
          </cell>
        </row>
        <row r="330">
          <cell r="J330" t="str">
            <v>Рубашка с длинными рукавами</v>
          </cell>
          <cell r="K330" t="str">
            <v>Рубашки</v>
          </cell>
          <cell r="L330" t="str">
            <v>Одежда Топ</v>
          </cell>
        </row>
        <row r="331">
          <cell r="J331" t="str">
            <v>Водолазка</v>
          </cell>
          <cell r="K331" t="str">
            <v>Свитеры и кардиганы</v>
          </cell>
          <cell r="L331" t="str">
            <v>Одежда Топ</v>
          </cell>
        </row>
        <row r="332">
          <cell r="J332" t="str">
            <v>Джемпер</v>
          </cell>
          <cell r="K332" t="str">
            <v>Свитеры и кардиганы</v>
          </cell>
          <cell r="L332" t="str">
            <v>Одежда Топ</v>
          </cell>
        </row>
        <row r="333">
          <cell r="J333" t="str">
            <v>Кардиган</v>
          </cell>
          <cell r="K333" t="str">
            <v>Свитеры и кардиганы</v>
          </cell>
          <cell r="L333" t="str">
            <v>Одежда Топ</v>
          </cell>
        </row>
        <row r="334">
          <cell r="J334" t="str">
            <v>Пуловер</v>
          </cell>
          <cell r="K334" t="str">
            <v>Свитеры и кардиганы</v>
          </cell>
          <cell r="L334" t="str">
            <v>Одежда Топ</v>
          </cell>
        </row>
        <row r="335">
          <cell r="J335" t="str">
            <v>Свитер</v>
          </cell>
          <cell r="K335" t="str">
            <v>Свитеры и кардиганы</v>
          </cell>
          <cell r="L335" t="str">
            <v>Одежда Топ</v>
          </cell>
        </row>
        <row r="336">
          <cell r="J336" t="str">
            <v>Свитер безрукавка</v>
          </cell>
          <cell r="K336" t="str">
            <v>Свитеры и кардиганы</v>
          </cell>
          <cell r="L336" t="str">
            <v>Одежда Топ</v>
          </cell>
        </row>
        <row r="337">
          <cell r="J337" t="str">
            <v>Свитер поло</v>
          </cell>
          <cell r="K337" t="str">
            <v>Свитеры и кардиганы</v>
          </cell>
          <cell r="L337" t="str">
            <v>Одежда Топ</v>
          </cell>
        </row>
        <row r="338">
          <cell r="J338" t="str">
            <v>Олимпийка</v>
          </cell>
          <cell r="K338" t="str">
            <v>Толстовки и олимпийки</v>
          </cell>
          <cell r="L338" t="str">
            <v>Одежда Топ</v>
          </cell>
        </row>
        <row r="339">
          <cell r="J339" t="str">
            <v>Толстовка</v>
          </cell>
          <cell r="K339" t="str">
            <v>Толстовки и олимпийки</v>
          </cell>
          <cell r="L339" t="str">
            <v>Одежда Топ</v>
          </cell>
        </row>
        <row r="340">
          <cell r="J340" t="str">
            <v>Худи</v>
          </cell>
          <cell r="K340" t="str">
            <v>Толстовки и олимпийки</v>
          </cell>
          <cell r="L340" t="str">
            <v>Одежда Топ</v>
          </cell>
        </row>
        <row r="341">
          <cell r="J341" t="str">
            <v>Американка</v>
          </cell>
          <cell r="K341" t="str">
            <v>Футболки и поло</v>
          </cell>
          <cell r="L341" t="str">
            <v>Одежда Топ</v>
          </cell>
        </row>
        <row r="342">
          <cell r="J342" t="str">
            <v>Лонгслив</v>
          </cell>
          <cell r="K342" t="str">
            <v>Футболки и поло</v>
          </cell>
          <cell r="L342" t="str">
            <v>Одежда Топ</v>
          </cell>
        </row>
        <row r="343">
          <cell r="J343" t="str">
            <v>Поло</v>
          </cell>
          <cell r="K343" t="str">
            <v>Футболки и поло</v>
          </cell>
          <cell r="L343" t="str">
            <v>Одежда Топ</v>
          </cell>
        </row>
        <row r="344">
          <cell r="J344" t="str">
            <v>Поло с длинными рукавами</v>
          </cell>
          <cell r="K344" t="str">
            <v>Футболки и поло</v>
          </cell>
          <cell r="L344" t="str">
            <v>Одежда Топ</v>
          </cell>
        </row>
        <row r="345">
          <cell r="J345" t="str">
            <v>Футболка</v>
          </cell>
          <cell r="K345" t="str">
            <v>Футболки и поло</v>
          </cell>
          <cell r="L345" t="str">
            <v>Одежда Топ</v>
          </cell>
        </row>
        <row r="346">
          <cell r="J346" t="str">
            <v>Футболка безрукавка</v>
          </cell>
          <cell r="K346" t="str">
            <v>Футболки и поло</v>
          </cell>
          <cell r="L346" t="str">
            <v>Одежда Топ</v>
          </cell>
        </row>
        <row r="347">
          <cell r="J347" t="str">
            <v>Футболка с длинными рукавами</v>
          </cell>
          <cell r="K347" t="str">
            <v>Футболки и поло</v>
          </cell>
          <cell r="L347" t="str">
            <v>Одежда Топ</v>
          </cell>
        </row>
        <row r="348">
          <cell r="J348" t="str">
            <v>Набор полотенец</v>
          </cell>
          <cell r="K348" t="str">
            <v>Полотенца</v>
          </cell>
          <cell r="L348" t="str">
            <v>Текстиль</v>
          </cell>
        </row>
        <row r="349">
          <cell r="J349" t="str">
            <v>Полотенце банное</v>
          </cell>
          <cell r="K349" t="str">
            <v>Полотенца</v>
          </cell>
          <cell r="L349" t="str">
            <v>Текстиль</v>
          </cell>
        </row>
        <row r="350">
          <cell r="J350" t="str">
            <v>Полотенце для лица</v>
          </cell>
          <cell r="K350" t="str">
            <v>Полотенца</v>
          </cell>
          <cell r="L350" t="str">
            <v>Текстиль</v>
          </cell>
        </row>
        <row r="351">
          <cell r="J351" t="str">
            <v>Полотенце уголок</v>
          </cell>
          <cell r="K351" t="str">
            <v>Полотенца</v>
          </cell>
          <cell r="L351" t="str">
            <v>Текстиль</v>
          </cell>
        </row>
        <row r="352">
          <cell r="J352" t="str">
            <v>Полотенце халат</v>
          </cell>
          <cell r="K352" t="str">
            <v>Полотенца</v>
          </cell>
          <cell r="L352" t="str">
            <v>Текстиль</v>
          </cell>
        </row>
        <row r="353">
          <cell r="J353" t="str">
            <v>Полотенце-салфетка</v>
          </cell>
          <cell r="K353" t="str">
            <v>Полотенца</v>
          </cell>
          <cell r="L353" t="str">
            <v>Текстиль</v>
          </cell>
        </row>
        <row r="354">
          <cell r="J354" t="str">
            <v>Комплект постельного белья</v>
          </cell>
          <cell r="K354" t="str">
            <v>Постельное белье</v>
          </cell>
          <cell r="L354" t="str">
            <v>Текстиль</v>
          </cell>
        </row>
        <row r="355">
          <cell r="J355" t="str">
            <v>Наволочка</v>
          </cell>
          <cell r="K355" t="str">
            <v>Постельное белье</v>
          </cell>
          <cell r="L355" t="str">
            <v>Текстиль</v>
          </cell>
        </row>
        <row r="356">
          <cell r="J356" t="str">
            <v>Одеяло</v>
          </cell>
          <cell r="K356" t="str">
            <v>Постельное белье</v>
          </cell>
          <cell r="L356" t="str">
            <v>Текстиль</v>
          </cell>
        </row>
        <row r="357">
          <cell r="J357" t="str">
            <v>Пододеяльник</v>
          </cell>
          <cell r="K357" t="str">
            <v>Постельное белье</v>
          </cell>
          <cell r="L357" t="str">
            <v>Текстиль</v>
          </cell>
        </row>
        <row r="358">
          <cell r="J358" t="str">
            <v>Подушка</v>
          </cell>
          <cell r="K358" t="str">
            <v>Постельное белье</v>
          </cell>
          <cell r="L358" t="str">
            <v>Текстиль</v>
          </cell>
        </row>
        <row r="359">
          <cell r="J359" t="str">
            <v>Подушка для беременных</v>
          </cell>
          <cell r="K359" t="str">
            <v>Постельное белье</v>
          </cell>
          <cell r="L359" t="str">
            <v>Текстиль</v>
          </cell>
        </row>
        <row r="360">
          <cell r="J360" t="str">
            <v>Подушка и матрас</v>
          </cell>
          <cell r="K360" t="str">
            <v>Постельное белье</v>
          </cell>
          <cell r="L360" t="str">
            <v>Текстиль</v>
          </cell>
        </row>
        <row r="361">
          <cell r="J361" t="str">
            <v>Покрывал</v>
          </cell>
          <cell r="K361" t="str">
            <v>Постельное белье</v>
          </cell>
          <cell r="L361" t="str">
            <v>Текстиль</v>
          </cell>
        </row>
        <row r="362">
          <cell r="J362" t="str">
            <v>Простына</v>
          </cell>
          <cell r="K362" t="str">
            <v>Постельное белье</v>
          </cell>
          <cell r="L362" t="str">
            <v>Текстиль</v>
          </cell>
        </row>
        <row r="363">
          <cell r="J363" t="str">
            <v>Ватные диски</v>
          </cell>
          <cell r="K363" t="str">
            <v>Бумажная и ватная продукция</v>
          </cell>
          <cell r="L363" t="str">
            <v>Личная гигиена</v>
          </cell>
        </row>
        <row r="364">
          <cell r="J364" t="str">
            <v>Ватные палочки</v>
          </cell>
          <cell r="K364" t="str">
            <v>Бумажная и ватная продукция</v>
          </cell>
          <cell r="L364" t="str">
            <v>Личная гигиена</v>
          </cell>
        </row>
        <row r="365">
          <cell r="J365" t="str">
            <v>Полотенце бумажное</v>
          </cell>
          <cell r="K365" t="str">
            <v>Бумажная и ватная продукция</v>
          </cell>
          <cell r="L365" t="str">
            <v>Личная гигиена</v>
          </cell>
        </row>
        <row r="366">
          <cell r="J366" t="str">
            <v>Салфетка влажная</v>
          </cell>
          <cell r="K366" t="str">
            <v>Бумажная и ватная продукция</v>
          </cell>
          <cell r="L366" t="str">
            <v>Личная гигиена</v>
          </cell>
        </row>
        <row r="367">
          <cell r="J367" t="str">
            <v>Салфетки</v>
          </cell>
          <cell r="K367" t="str">
            <v>Бумажная и ватная продукция</v>
          </cell>
          <cell r="L367" t="str">
            <v>Личная гигиена</v>
          </cell>
        </row>
        <row r="368">
          <cell r="J368" t="str">
            <v>Туалетная бумага</v>
          </cell>
          <cell r="K368" t="str">
            <v>Бумажная и ватная продукция</v>
          </cell>
          <cell r="L368" t="str">
            <v>Личная гигиена</v>
          </cell>
        </row>
        <row r="369">
          <cell r="J369" t="str">
            <v>Бальзам после бритья</v>
          </cell>
          <cell r="K369" t="str">
            <v>Для бритья</v>
          </cell>
          <cell r="L369" t="str">
            <v>Личная гигиена</v>
          </cell>
        </row>
        <row r="370">
          <cell r="J370" t="str">
            <v>Бритва</v>
          </cell>
          <cell r="K370" t="str">
            <v>Для бритья</v>
          </cell>
          <cell r="L370" t="str">
            <v>Личная гигиена</v>
          </cell>
        </row>
        <row r="371">
          <cell r="J371" t="str">
            <v>Гель для бритья</v>
          </cell>
          <cell r="K371" t="str">
            <v>Для бритья</v>
          </cell>
          <cell r="L371" t="str">
            <v>Личная гигиена</v>
          </cell>
        </row>
        <row r="372">
          <cell r="J372" t="str">
            <v>Гель после бритья</v>
          </cell>
          <cell r="K372" t="str">
            <v>Для бритья</v>
          </cell>
          <cell r="L372" t="str">
            <v>Личная гигиена</v>
          </cell>
        </row>
        <row r="373">
          <cell r="J373" t="str">
            <v>Лосьон после бритья</v>
          </cell>
          <cell r="K373" t="str">
            <v>Для бритья</v>
          </cell>
          <cell r="L373" t="str">
            <v>Личная гигиена</v>
          </cell>
        </row>
        <row r="374">
          <cell r="J374" t="str">
            <v>Мыло для бритья</v>
          </cell>
          <cell r="K374" t="str">
            <v>Для бритья</v>
          </cell>
          <cell r="L374" t="str">
            <v>Личная гигиена</v>
          </cell>
        </row>
        <row r="375">
          <cell r="J375" t="str">
            <v>Одеколон для бритья</v>
          </cell>
          <cell r="K375" t="str">
            <v>Для бритья</v>
          </cell>
          <cell r="L375" t="str">
            <v>Личная гигиена</v>
          </cell>
        </row>
        <row r="376">
          <cell r="J376" t="str">
            <v>Пена для бритья</v>
          </cell>
          <cell r="K376" t="str">
            <v>Для бритья</v>
          </cell>
          <cell r="L376" t="str">
            <v>Личная гигиена</v>
          </cell>
        </row>
        <row r="377">
          <cell r="J377" t="str">
            <v>Сменные кассеты для бритья</v>
          </cell>
          <cell r="K377" t="str">
            <v>Для бритья</v>
          </cell>
          <cell r="L377" t="str">
            <v>Личная гигиена</v>
          </cell>
        </row>
        <row r="378">
          <cell r="J378" t="str">
            <v>Средства до и после бритья</v>
          </cell>
          <cell r="K378" t="str">
            <v>Для бритья</v>
          </cell>
          <cell r="L378" t="str">
            <v>Личная гигиена</v>
          </cell>
        </row>
        <row r="379">
          <cell r="J379" t="str">
            <v>Станок для бритья</v>
          </cell>
          <cell r="K379" t="str">
            <v>Для бритья</v>
          </cell>
          <cell r="L379" t="str">
            <v>Личная гигиена</v>
          </cell>
        </row>
        <row r="380">
          <cell r="J380" t="str">
            <v>Гель для интимной гигиены</v>
          </cell>
          <cell r="K380" t="str">
            <v>Для интимной гигиены</v>
          </cell>
          <cell r="L380" t="str">
            <v>Личная гигиена</v>
          </cell>
        </row>
        <row r="381">
          <cell r="J381" t="str">
            <v>Мыло для интимной гигиены</v>
          </cell>
          <cell r="K381" t="str">
            <v>Для интимной гигиены</v>
          </cell>
          <cell r="L381" t="str">
            <v>Личная гигиена</v>
          </cell>
        </row>
        <row r="382">
          <cell r="J382" t="str">
            <v>Пена для интимной гигиены</v>
          </cell>
          <cell r="K382" t="str">
            <v>Для интимной гигиены</v>
          </cell>
          <cell r="L382" t="str">
            <v>Личная гигиена</v>
          </cell>
        </row>
        <row r="383">
          <cell r="J383" t="str">
            <v>Прокладки</v>
          </cell>
          <cell r="K383" t="str">
            <v>Для интимной гигиены</v>
          </cell>
          <cell r="L383" t="str">
            <v>Личная гигиена</v>
          </cell>
        </row>
        <row r="384">
          <cell r="J384" t="str">
            <v>Спрей для интимной гигиены</v>
          </cell>
          <cell r="K384" t="str">
            <v>Для интимной гигиены</v>
          </cell>
          <cell r="L384" t="str">
            <v>Личная гигиена</v>
          </cell>
        </row>
        <row r="385">
          <cell r="J385" t="str">
            <v>Тампоны</v>
          </cell>
          <cell r="K385" t="str">
            <v>Для интимной гигиены</v>
          </cell>
          <cell r="L385" t="str">
            <v>Личная гигиена</v>
          </cell>
        </row>
        <row r="386">
          <cell r="J386" t="str">
            <v>Трусы послеродовые</v>
          </cell>
          <cell r="K386" t="str">
            <v>Для интимной гигиены</v>
          </cell>
          <cell r="L386" t="str">
            <v>Личная гигиена</v>
          </cell>
        </row>
        <row r="387">
          <cell r="J387" t="str">
            <v>Зубная нить</v>
          </cell>
          <cell r="K387" t="str">
            <v>Для полости рта</v>
          </cell>
          <cell r="L387" t="str">
            <v>Личная гигиена</v>
          </cell>
        </row>
        <row r="388">
          <cell r="J388" t="str">
            <v>Зубная паста</v>
          </cell>
          <cell r="K388" t="str">
            <v>Для полости рта</v>
          </cell>
          <cell r="L388" t="str">
            <v>Личная гигиена</v>
          </cell>
        </row>
        <row r="389">
          <cell r="J389" t="str">
            <v>Зубная щетка</v>
          </cell>
          <cell r="K389" t="str">
            <v>Для полости рта</v>
          </cell>
          <cell r="L389" t="str">
            <v>Личная гигиена</v>
          </cell>
        </row>
        <row r="390">
          <cell r="J390" t="str">
            <v>Зубочистка</v>
          </cell>
          <cell r="K390" t="str">
            <v>Для полости рта</v>
          </cell>
          <cell r="L390" t="str">
            <v>Личная гигиена</v>
          </cell>
        </row>
        <row r="391">
          <cell r="J391" t="str">
            <v>Ополаскиватель для полости рта</v>
          </cell>
          <cell r="K391" t="str">
            <v>Для полости рта</v>
          </cell>
          <cell r="L391" t="str">
            <v>Личная гигиена</v>
          </cell>
        </row>
        <row r="392">
          <cell r="J392" t="str">
            <v>Очиститель языка</v>
          </cell>
          <cell r="K392" t="str">
            <v>Для полости рта</v>
          </cell>
          <cell r="L392" t="str">
            <v>Личная гигиена</v>
          </cell>
        </row>
        <row r="393">
          <cell r="J393" t="str">
            <v>Гель для стирки</v>
          </cell>
          <cell r="K393" t="str">
            <v>Для стирки</v>
          </cell>
          <cell r="L393" t="str">
            <v>Стирки и уход за бельем</v>
          </cell>
        </row>
        <row r="394">
          <cell r="J394" t="str">
            <v>Капсула 1 шт</v>
          </cell>
          <cell r="K394" t="str">
            <v>Для стирки</v>
          </cell>
          <cell r="L394" t="str">
            <v>Стирки и уход за бельем</v>
          </cell>
        </row>
        <row r="395">
          <cell r="J395" t="str">
            <v>Капсулы для стирки</v>
          </cell>
          <cell r="K395" t="str">
            <v>Для стирки</v>
          </cell>
          <cell r="L395" t="str">
            <v>Стирки и уход за бельем</v>
          </cell>
        </row>
        <row r="396">
          <cell r="J396" t="str">
            <v>Стиральный порошок</v>
          </cell>
          <cell r="K396" t="str">
            <v>Для стирки</v>
          </cell>
          <cell r="L396" t="str">
            <v>Стирки и уход за бельем</v>
          </cell>
        </row>
        <row r="397">
          <cell r="J397" t="str">
            <v>Таблетка для стирки</v>
          </cell>
          <cell r="K397" t="str">
            <v>Для стирки</v>
          </cell>
          <cell r="L397" t="str">
            <v>Стирки и уход за бельем</v>
          </cell>
        </row>
        <row r="398">
          <cell r="J398" t="str">
            <v>Хозяйственное мыло</v>
          </cell>
          <cell r="K398" t="str">
            <v>Для стирки</v>
          </cell>
          <cell r="L398" t="str">
            <v>Стирки и уход за бельем</v>
          </cell>
        </row>
        <row r="399">
          <cell r="J399" t="str">
            <v>Антистатик для белья</v>
          </cell>
          <cell r="K399" t="str">
            <v>Уход за бельем</v>
          </cell>
          <cell r="L399" t="str">
            <v>Стирки и уход за бельем</v>
          </cell>
        </row>
        <row r="400">
          <cell r="J400" t="str">
            <v>Ароматизатор для белья</v>
          </cell>
          <cell r="K400" t="str">
            <v>Уход за бельем</v>
          </cell>
          <cell r="L400" t="str">
            <v>Стирки и уход за бельем</v>
          </cell>
        </row>
        <row r="401">
          <cell r="J401" t="str">
            <v>Кондиционер для белья</v>
          </cell>
          <cell r="K401" t="str">
            <v>Уход за бельем</v>
          </cell>
          <cell r="L401" t="str">
            <v>Стирки и уход за бельем</v>
          </cell>
        </row>
        <row r="402">
          <cell r="J402" t="str">
            <v>Ополаскиватель для белья</v>
          </cell>
          <cell r="K402" t="str">
            <v>Уход за бельем</v>
          </cell>
          <cell r="L402" t="str">
            <v>Стирки и уход за бельем</v>
          </cell>
        </row>
        <row r="403">
          <cell r="J403" t="str">
            <v>Отбеливатель для белья</v>
          </cell>
          <cell r="K403" t="str">
            <v>Уход за бельем</v>
          </cell>
          <cell r="L403" t="str">
            <v>Стирки и уход за бельем</v>
          </cell>
        </row>
        <row r="404">
          <cell r="J404" t="str">
            <v>Отбеливатель и пятновыводитель</v>
          </cell>
          <cell r="K404" t="str">
            <v>Уход за бельем</v>
          </cell>
          <cell r="L404" t="str">
            <v>Стирки и уход за бельем</v>
          </cell>
        </row>
        <row r="405">
          <cell r="J405" t="str">
            <v>Пятновыводитель для белья</v>
          </cell>
          <cell r="K405" t="str">
            <v>Уход за бельем</v>
          </cell>
          <cell r="L405" t="str">
            <v>Стирки и уход за бельем</v>
          </cell>
        </row>
        <row r="406">
          <cell r="J406" t="str">
            <v>Ролик для одежды</v>
          </cell>
          <cell r="K406" t="str">
            <v>Уход за бельем</v>
          </cell>
          <cell r="L406" t="str">
            <v>Стирки и уход за бельем</v>
          </cell>
        </row>
        <row r="407">
          <cell r="J407" t="str">
            <v>Удалитель запаха для белья</v>
          </cell>
          <cell r="K407" t="str">
            <v>Уход за бельем</v>
          </cell>
          <cell r="L407" t="str">
            <v>Стирки и уход за бельем</v>
          </cell>
        </row>
        <row r="408">
          <cell r="J408" t="str">
            <v>Щетка для одежды</v>
          </cell>
          <cell r="K408" t="str">
            <v>Уход за бельем</v>
          </cell>
          <cell r="L408" t="str">
            <v>Стирки и уход за бельем</v>
          </cell>
        </row>
        <row r="409">
          <cell r="J409" t="str">
            <v>Средство для посудомоечных машин</v>
          </cell>
          <cell r="K409" t="str">
            <v>Уход за бытовой техникой</v>
          </cell>
          <cell r="L409" t="str">
            <v>Стирки и уход за бельем</v>
          </cell>
        </row>
        <row r="410">
          <cell r="J410" t="str">
            <v>Средство для смягчения воды</v>
          </cell>
          <cell r="K410" t="str">
            <v>Уход за бытовой техникой</v>
          </cell>
          <cell r="L410" t="str">
            <v>Стирки и уход за бельем</v>
          </cell>
        </row>
        <row r="411">
          <cell r="J411" t="str">
            <v>Средство для стиральных машин</v>
          </cell>
          <cell r="K411" t="str">
            <v>Уход за бытовой техникой</v>
          </cell>
          <cell r="L411" t="str">
            <v>Стирки и уход за бельем</v>
          </cell>
        </row>
        <row r="412">
          <cell r="J412" t="str">
            <v>Средство для удаление накипи</v>
          </cell>
          <cell r="K412" t="str">
            <v>Уход за бытовой техникой</v>
          </cell>
          <cell r="L412" t="str">
            <v>Стирки и уход за бельем</v>
          </cell>
        </row>
        <row r="413">
          <cell r="J413" t="str">
            <v>Таблетки для посудомоечных машин</v>
          </cell>
          <cell r="K413" t="str">
            <v>Уход за бытовой техникой</v>
          </cell>
          <cell r="L413" t="str">
            <v>Стирки и уход за бельем</v>
          </cell>
        </row>
        <row r="414">
          <cell r="J414" t="str">
            <v>Детская зубная паста</v>
          </cell>
          <cell r="K414" t="str">
            <v>Детская гигиена</v>
          </cell>
          <cell r="L414" t="str">
            <v>Гигиена и уход ребенка</v>
          </cell>
        </row>
        <row r="415">
          <cell r="J415" t="str">
            <v>Детская зубная щетка</v>
          </cell>
          <cell r="K415" t="str">
            <v>Детская гигиена</v>
          </cell>
          <cell r="L415" t="str">
            <v>Гигиена и уход ребенка</v>
          </cell>
        </row>
        <row r="416">
          <cell r="J416" t="str">
            <v>Детская пена для ванны</v>
          </cell>
          <cell r="K416" t="str">
            <v>Детская гигиена</v>
          </cell>
          <cell r="L416" t="str">
            <v>Гигиена и уход ребенка</v>
          </cell>
        </row>
        <row r="417">
          <cell r="J417" t="str">
            <v>Детская присыпка</v>
          </cell>
          <cell r="K417" t="str">
            <v>Детская гигиена</v>
          </cell>
          <cell r="L417" t="str">
            <v>Гигиена и уход ребенка</v>
          </cell>
        </row>
        <row r="418">
          <cell r="J418" t="str">
            <v>Детская соль для ванны</v>
          </cell>
          <cell r="K418" t="str">
            <v>Детская гигиена</v>
          </cell>
          <cell r="L418" t="str">
            <v>Гигиена и уход ребенка</v>
          </cell>
        </row>
        <row r="419">
          <cell r="J419" t="str">
            <v>Детский гель для десен</v>
          </cell>
          <cell r="K419" t="str">
            <v>Детская гигиена</v>
          </cell>
          <cell r="L419" t="str">
            <v>Гигиена и уход ребенка</v>
          </cell>
        </row>
        <row r="420">
          <cell r="J420" t="str">
            <v>Детский гель для душа</v>
          </cell>
          <cell r="K420" t="str">
            <v>Детская гигиена</v>
          </cell>
          <cell r="L420" t="str">
            <v>Гигиена и уход ребенка</v>
          </cell>
        </row>
        <row r="421">
          <cell r="J421" t="str">
            <v>Детский гель-пена для душа</v>
          </cell>
          <cell r="K421" t="str">
            <v>Детская гигиена</v>
          </cell>
          <cell r="L421" t="str">
            <v>Гигиена и уход ребенка</v>
          </cell>
        </row>
        <row r="422">
          <cell r="J422" t="str">
            <v>Детский крем</v>
          </cell>
          <cell r="K422" t="str">
            <v>Детская гигиена</v>
          </cell>
          <cell r="L422" t="str">
            <v>Гигиена и уход ребенка</v>
          </cell>
        </row>
        <row r="423">
          <cell r="J423" t="str">
            <v>Детский ополаскиватель для рта</v>
          </cell>
          <cell r="K423" t="str">
            <v>Детская гигиена</v>
          </cell>
          <cell r="L423" t="str">
            <v>Гигиена и уход ребенка</v>
          </cell>
        </row>
        <row r="424">
          <cell r="J424" t="str">
            <v>Детский солнцезащитный крем</v>
          </cell>
          <cell r="K424" t="str">
            <v>Детская гигиена</v>
          </cell>
          <cell r="L424" t="str">
            <v>Гигиена и уход ребенка</v>
          </cell>
        </row>
        <row r="425">
          <cell r="J425" t="str">
            <v>Детский шампунь</v>
          </cell>
          <cell r="K425" t="str">
            <v>Детская гигиена</v>
          </cell>
          <cell r="L425" t="str">
            <v>Гигиена и уход ребенка</v>
          </cell>
        </row>
        <row r="426">
          <cell r="J426" t="str">
            <v>Детское масло</v>
          </cell>
          <cell r="K426" t="str">
            <v>Детская гигиена</v>
          </cell>
          <cell r="L426" t="str">
            <v>Гигиена и уход ребенка</v>
          </cell>
        </row>
        <row r="427">
          <cell r="J427" t="str">
            <v>Детское молочко для тела</v>
          </cell>
          <cell r="K427" t="str">
            <v>Детская гигиена</v>
          </cell>
          <cell r="L427" t="str">
            <v>Гигиена и уход ребенка</v>
          </cell>
        </row>
        <row r="428">
          <cell r="J428" t="str">
            <v>Детское мыло</v>
          </cell>
          <cell r="K428" t="str">
            <v>Детская гигиена</v>
          </cell>
          <cell r="L428" t="str">
            <v>Гигиена и уход ребенка</v>
          </cell>
        </row>
        <row r="429">
          <cell r="J429" t="str">
            <v>Молочко</v>
          </cell>
          <cell r="K429" t="str">
            <v>Детская гигиена</v>
          </cell>
          <cell r="L429" t="str">
            <v>Гигиена и уход ребенка</v>
          </cell>
        </row>
        <row r="430">
          <cell r="J430" t="str">
            <v>Подарочный набор</v>
          </cell>
          <cell r="K430" t="str">
            <v>Детская гигиена</v>
          </cell>
          <cell r="L430" t="str">
            <v>Гигиена и уход ребенка</v>
          </cell>
        </row>
        <row r="431">
          <cell r="J431" t="str">
            <v>Ванночки и Горки</v>
          </cell>
          <cell r="K431" t="str">
            <v>Купание ребенка</v>
          </cell>
          <cell r="L431" t="str">
            <v>Гигиена и уход ребенка</v>
          </cell>
        </row>
        <row r="432">
          <cell r="J432" t="str">
            <v>Детская мочалка</v>
          </cell>
          <cell r="K432" t="str">
            <v>Купание ребенка</v>
          </cell>
          <cell r="L432" t="str">
            <v>Гигиена и уход ребенка</v>
          </cell>
        </row>
        <row r="433">
          <cell r="J433" t="str">
            <v>Детский набор для ванны</v>
          </cell>
          <cell r="K433" t="str">
            <v>Купание ребенка</v>
          </cell>
          <cell r="L433" t="str">
            <v>Гигиена и уход ребенка</v>
          </cell>
        </row>
        <row r="434">
          <cell r="J434" t="str">
            <v>Козырек для купания</v>
          </cell>
          <cell r="K434" t="str">
            <v>Купание ребенка</v>
          </cell>
          <cell r="L434" t="str">
            <v>Гигиена и уход ребенка</v>
          </cell>
        </row>
        <row r="435">
          <cell r="J435" t="str">
            <v>Кружка-лейка для купание</v>
          </cell>
          <cell r="K435" t="str">
            <v>Купание ребенка</v>
          </cell>
          <cell r="L435" t="str">
            <v>Гигиена и уход ребенка</v>
          </cell>
        </row>
        <row r="436">
          <cell r="J436" t="str">
            <v>Мыльница</v>
          </cell>
          <cell r="K436" t="str">
            <v>Купание ребенка</v>
          </cell>
          <cell r="L436" t="str">
            <v>Гигиена и уход ребенка</v>
          </cell>
        </row>
        <row r="437">
          <cell r="J437" t="str">
            <v>Сетка для ванны</v>
          </cell>
          <cell r="K437" t="str">
            <v>Купание ребенка</v>
          </cell>
          <cell r="L437" t="str">
            <v>Гигиена и уход ребенка</v>
          </cell>
        </row>
        <row r="438">
          <cell r="J438" t="str">
            <v>Термометр для ванны</v>
          </cell>
          <cell r="K438" t="str">
            <v>Купание ребенка</v>
          </cell>
          <cell r="L438" t="str">
            <v>Гигиена и уход ребенка</v>
          </cell>
        </row>
        <row r="439">
          <cell r="J439" t="str">
            <v>Вкладыши для подгузника</v>
          </cell>
          <cell r="K439" t="str">
            <v>Подгузники и трусики</v>
          </cell>
          <cell r="L439" t="str">
            <v>Гигиена и уход ребенка</v>
          </cell>
        </row>
        <row r="440">
          <cell r="J440" t="str">
            <v>Подгузники</v>
          </cell>
          <cell r="K440" t="str">
            <v>Подгузники и трусики</v>
          </cell>
          <cell r="L440" t="str">
            <v>Гигиена и уход ребенка</v>
          </cell>
        </row>
        <row r="441">
          <cell r="J441" t="str">
            <v>Подгузники многоразовые</v>
          </cell>
          <cell r="K441" t="str">
            <v>Подгузники и трусики</v>
          </cell>
          <cell r="L441" t="str">
            <v>Гигиена и уход ребенка</v>
          </cell>
        </row>
        <row r="442">
          <cell r="J442" t="str">
            <v>Подгузники-трусики</v>
          </cell>
          <cell r="K442" t="str">
            <v>Подгузники и трусики</v>
          </cell>
          <cell r="L442" t="str">
            <v>Гигиена и уход ребенка</v>
          </cell>
        </row>
        <row r="443">
          <cell r="J443" t="str">
            <v>Аспиратор детский</v>
          </cell>
          <cell r="K443" t="str">
            <v>Уход за ребенком</v>
          </cell>
          <cell r="L443" t="str">
            <v>Гигиена и уход ребенка</v>
          </cell>
        </row>
        <row r="444">
          <cell r="J444" t="str">
            <v>Газоотводная трубочка</v>
          </cell>
          <cell r="K444" t="str">
            <v>Уход за ребенком</v>
          </cell>
          <cell r="L444" t="str">
            <v>Гигиена и уход ребенка</v>
          </cell>
        </row>
        <row r="445">
          <cell r="J445" t="str">
            <v>Грелка для ребенка</v>
          </cell>
          <cell r="K445" t="str">
            <v>Уход за ребенком</v>
          </cell>
          <cell r="L445" t="str">
            <v>Гигиена и уход ребенка</v>
          </cell>
        </row>
        <row r="446">
          <cell r="J446" t="str">
            <v>Губка для купания</v>
          </cell>
          <cell r="K446" t="str">
            <v>Уход за ребенком</v>
          </cell>
          <cell r="L446" t="str">
            <v>Гигиена и уход ребенка</v>
          </cell>
        </row>
        <row r="447">
          <cell r="J447" t="str">
            <v>Детская расческа</v>
          </cell>
          <cell r="K447" t="str">
            <v>Уход за ребенком</v>
          </cell>
          <cell r="L447" t="str">
            <v>Гигиена и уход ребенка</v>
          </cell>
        </row>
        <row r="448">
          <cell r="J448" t="str">
            <v>Кусачки</v>
          </cell>
          <cell r="K448" t="str">
            <v>Уход за ребенком</v>
          </cell>
          <cell r="L448" t="str">
            <v>Гигиена и уход ребенка</v>
          </cell>
        </row>
        <row r="449">
          <cell r="J449" t="str">
            <v>Набор для ухода за ребенком</v>
          </cell>
          <cell r="K449" t="str">
            <v>Уход за ребенком</v>
          </cell>
          <cell r="L449" t="str">
            <v>Гигиена и уход ребенка</v>
          </cell>
        </row>
        <row r="450">
          <cell r="J450" t="str">
            <v>Напальчники</v>
          </cell>
          <cell r="K450" t="str">
            <v>Уход за ребенком</v>
          </cell>
          <cell r="L450" t="str">
            <v>Гигиена и уход ребенка</v>
          </cell>
        </row>
        <row r="451">
          <cell r="J451" t="str">
            <v>Ножницы</v>
          </cell>
          <cell r="K451" t="str">
            <v>Уход за ребенком</v>
          </cell>
          <cell r="L451" t="str">
            <v>Гигиена и уход ребенка</v>
          </cell>
        </row>
        <row r="452">
          <cell r="J452" t="str">
            <v>Пилочка</v>
          </cell>
          <cell r="K452" t="str">
            <v>Уход за ребенком</v>
          </cell>
          <cell r="L452" t="str">
            <v>Гигиена и уход ребенка</v>
          </cell>
        </row>
        <row r="453">
          <cell r="J453" t="str">
            <v>Подогреватель для салфеток</v>
          </cell>
          <cell r="K453" t="str">
            <v>Уход за ребенком</v>
          </cell>
          <cell r="L453" t="str">
            <v>Гигиена и уход ребенка</v>
          </cell>
        </row>
        <row r="454">
          <cell r="J454" t="str">
            <v>Сумка набор в роддом</v>
          </cell>
          <cell r="K454" t="str">
            <v>Уход за ребенком</v>
          </cell>
          <cell r="L454" t="str">
            <v>Гигиена и уход ребенка</v>
          </cell>
        </row>
        <row r="455">
          <cell r="J455" t="str">
            <v>Термометр</v>
          </cell>
          <cell r="K455" t="str">
            <v>Уход за ребенком</v>
          </cell>
          <cell r="L455" t="str">
            <v>Гигиена и уход ребенка</v>
          </cell>
        </row>
        <row r="456">
          <cell r="J456" t="str">
            <v>Шоколад</v>
          </cell>
          <cell r="K456" t="str">
            <v>Сладости</v>
          </cell>
          <cell r="L456" t="str">
            <v>Детское питание</v>
          </cell>
        </row>
        <row r="457">
          <cell r="J457" t="str">
            <v>Батончик</v>
          </cell>
          <cell r="K457" t="str">
            <v>Сладости</v>
          </cell>
          <cell r="L457" t="str">
            <v>Детское питание</v>
          </cell>
        </row>
        <row r="458">
          <cell r="J458" t="str">
            <v>Булочка</v>
          </cell>
          <cell r="K458" t="str">
            <v>Кондитерские изделия</v>
          </cell>
          <cell r="L458" t="str">
            <v>Детское питание</v>
          </cell>
        </row>
        <row r="459">
          <cell r="J459" t="str">
            <v>Бутылочка</v>
          </cell>
          <cell r="K459" t="str">
            <v>Бутылочки и поильники</v>
          </cell>
          <cell r="L459" t="str">
            <v>Детское питание</v>
          </cell>
        </row>
        <row r="460">
          <cell r="J460" t="str">
            <v>Вафельная трубочка</v>
          </cell>
          <cell r="K460" t="str">
            <v>Кондитерские изделия</v>
          </cell>
          <cell r="L460" t="str">
            <v>Детское питание</v>
          </cell>
        </row>
        <row r="461">
          <cell r="J461" t="str">
            <v>Вафельный рулет</v>
          </cell>
          <cell r="K461" t="str">
            <v>Кондитерские изделия</v>
          </cell>
          <cell r="L461" t="str">
            <v>Детское питание</v>
          </cell>
        </row>
        <row r="462">
          <cell r="J462" t="str">
            <v>Вафли</v>
          </cell>
          <cell r="K462" t="str">
            <v>Кондитерские изделия</v>
          </cell>
          <cell r="L462" t="str">
            <v>Детское питание</v>
          </cell>
        </row>
        <row r="463">
          <cell r="J463" t="str">
            <v>Вилка детская</v>
          </cell>
          <cell r="K463" t="str">
            <v>Товары для кормления</v>
          </cell>
          <cell r="L463" t="str">
            <v>Детское питание</v>
          </cell>
        </row>
        <row r="464">
          <cell r="J464" t="str">
            <v>Вода</v>
          </cell>
          <cell r="K464" t="str">
            <v>Напитки и соки</v>
          </cell>
          <cell r="L464" t="str">
            <v>Детское питание</v>
          </cell>
        </row>
        <row r="465">
          <cell r="J465" t="str">
            <v>Газированный напиток</v>
          </cell>
          <cell r="K465" t="str">
            <v>Напитки и соки</v>
          </cell>
          <cell r="L465" t="str">
            <v>Детское питание</v>
          </cell>
        </row>
        <row r="466">
          <cell r="J466" t="str">
            <v>Готовый завтрак</v>
          </cell>
          <cell r="K466" t="str">
            <v>Каши и пюре</v>
          </cell>
          <cell r="L466" t="str">
            <v>Детское питание</v>
          </cell>
        </row>
        <row r="467">
          <cell r="J467" t="str">
            <v>Держатель для пустышек</v>
          </cell>
          <cell r="K467" t="str">
            <v>Пустышки и соски</v>
          </cell>
          <cell r="L467" t="str">
            <v>Детское питание</v>
          </cell>
        </row>
        <row r="468">
          <cell r="J468" t="str">
            <v>Детские тарелки</v>
          </cell>
          <cell r="K468" t="str">
            <v>Товары для кормления</v>
          </cell>
          <cell r="L468" t="str">
            <v>Детское питание</v>
          </cell>
        </row>
        <row r="469">
          <cell r="J469" t="str">
            <v>Детский чай</v>
          </cell>
          <cell r="K469" t="str">
            <v>Горячие напитки</v>
          </cell>
          <cell r="L469" t="str">
            <v>Детское питание</v>
          </cell>
        </row>
        <row r="470">
          <cell r="J470" t="str">
            <v>Детское молочко</v>
          </cell>
          <cell r="K470" t="str">
            <v>Смеси</v>
          </cell>
          <cell r="L470" t="str">
            <v>Детское питание</v>
          </cell>
        </row>
        <row r="471">
          <cell r="J471" t="str">
            <v>Драже</v>
          </cell>
          <cell r="K471" t="str">
            <v>Сладости</v>
          </cell>
          <cell r="L471" t="str">
            <v>Детское питание</v>
          </cell>
        </row>
        <row r="472">
          <cell r="J472" t="str">
            <v>Жевательная резинка</v>
          </cell>
          <cell r="K472" t="str">
            <v>Сладости</v>
          </cell>
          <cell r="L472" t="str">
            <v>Детское питание</v>
          </cell>
        </row>
        <row r="473">
          <cell r="J473" t="str">
            <v>Зефир</v>
          </cell>
          <cell r="K473" t="str">
            <v>Сладости</v>
          </cell>
          <cell r="L473" t="str">
            <v>Детское питание</v>
          </cell>
        </row>
        <row r="474">
          <cell r="J474" t="str">
            <v>Зубогрыз</v>
          </cell>
          <cell r="K474" t="str">
            <v>Пустышки и соски</v>
          </cell>
          <cell r="L474" t="str">
            <v>Детское питание</v>
          </cell>
        </row>
        <row r="475">
          <cell r="J475" t="str">
            <v>Ириска</v>
          </cell>
          <cell r="K475" t="str">
            <v>Сладости</v>
          </cell>
          <cell r="L475" t="str">
            <v>Детское питание</v>
          </cell>
        </row>
        <row r="476">
          <cell r="J476" t="str">
            <v>Йогурт</v>
          </cell>
          <cell r="K476" t="str">
            <v>Молочные изделия</v>
          </cell>
          <cell r="L476" t="str">
            <v>Детское питание</v>
          </cell>
        </row>
        <row r="477">
          <cell r="J477" t="str">
            <v>Какао</v>
          </cell>
          <cell r="K477" t="str">
            <v>Горячие напитки</v>
          </cell>
          <cell r="L477" t="str">
            <v>Детское питание</v>
          </cell>
        </row>
        <row r="478">
          <cell r="J478" t="str">
            <v>Карамель</v>
          </cell>
          <cell r="K478" t="str">
            <v>Сладости</v>
          </cell>
          <cell r="L478" t="str">
            <v>Детское питание</v>
          </cell>
        </row>
        <row r="479">
          <cell r="J479" t="str">
            <v>Каша</v>
          </cell>
          <cell r="K479" t="str">
            <v>Каши и пюре</v>
          </cell>
          <cell r="L479" t="str">
            <v>Детское питание</v>
          </cell>
        </row>
        <row r="480">
          <cell r="J480" t="str">
            <v>Кекс</v>
          </cell>
          <cell r="K480" t="str">
            <v>Кондитерские изделия</v>
          </cell>
          <cell r="L480" t="str">
            <v>Детское питание</v>
          </cell>
        </row>
        <row r="481">
          <cell r="J481" t="str">
            <v>Кефир</v>
          </cell>
          <cell r="K481" t="str">
            <v>Молочные изделия</v>
          </cell>
          <cell r="L481" t="str">
            <v>Детское питание</v>
          </cell>
        </row>
        <row r="482">
          <cell r="J482" t="str">
            <v>Кириешки</v>
          </cell>
          <cell r="K482" t="str">
            <v>Закуски и снеки</v>
          </cell>
          <cell r="L482" t="str">
            <v>Детское питание</v>
          </cell>
        </row>
        <row r="483">
          <cell r="J483" t="str">
            <v>Кисель</v>
          </cell>
          <cell r="K483" t="str">
            <v>Напитки для детей</v>
          </cell>
          <cell r="L483" t="str">
            <v>Детское питание</v>
          </cell>
        </row>
        <row r="484">
          <cell r="J484" t="str">
            <v>Коктейль</v>
          </cell>
          <cell r="K484" t="str">
            <v>Молочные изделия</v>
          </cell>
          <cell r="L484" t="str">
            <v>Детское питание</v>
          </cell>
        </row>
        <row r="485">
          <cell r="J485" t="str">
            <v>Компот</v>
          </cell>
          <cell r="K485" t="str">
            <v>Напитки для детей</v>
          </cell>
          <cell r="L485" t="str">
            <v>Детское питание</v>
          </cell>
        </row>
        <row r="486">
          <cell r="J486" t="str">
            <v>Контейнер</v>
          </cell>
          <cell r="K486" t="str">
            <v>Товары для кормления</v>
          </cell>
          <cell r="L486" t="str">
            <v>Детское питание</v>
          </cell>
        </row>
        <row r="487">
          <cell r="J487" t="str">
            <v>Конфета</v>
          </cell>
          <cell r="K487" t="str">
            <v>Сладости</v>
          </cell>
          <cell r="L487" t="str">
            <v>Детское питание</v>
          </cell>
        </row>
        <row r="488">
          <cell r="J488" t="str">
            <v>Кофе</v>
          </cell>
          <cell r="K488" t="str">
            <v>Горячие напитки</v>
          </cell>
          <cell r="L488" t="str">
            <v>Детское питание</v>
          </cell>
        </row>
        <row r="489">
          <cell r="J489" t="str">
            <v>Крекер</v>
          </cell>
          <cell r="K489" t="str">
            <v>Закуски и снеки</v>
          </cell>
          <cell r="L489" t="str">
            <v>Детское питание</v>
          </cell>
        </row>
        <row r="490">
          <cell r="J490" t="str">
            <v>Круассан</v>
          </cell>
          <cell r="K490" t="str">
            <v>Кондитерские изделия</v>
          </cell>
          <cell r="L490" t="str">
            <v>Детское питание</v>
          </cell>
        </row>
        <row r="491">
          <cell r="J491" t="str">
            <v>Кукурузные палочки</v>
          </cell>
          <cell r="K491" t="str">
            <v>Сладости</v>
          </cell>
          <cell r="L491" t="str">
            <v>Детское питание</v>
          </cell>
        </row>
        <row r="492">
          <cell r="J492" t="str">
            <v>Леденцы</v>
          </cell>
          <cell r="K492" t="str">
            <v>Сладости</v>
          </cell>
          <cell r="L492" t="str">
            <v>Детское питание</v>
          </cell>
        </row>
        <row r="493">
          <cell r="J493" t="str">
            <v>Лимонад</v>
          </cell>
          <cell r="K493" t="str">
            <v>Напитки и соки</v>
          </cell>
          <cell r="L493" t="str">
            <v>Детское питание</v>
          </cell>
        </row>
        <row r="494">
          <cell r="J494" t="str">
            <v>Ложка детская</v>
          </cell>
          <cell r="K494" t="str">
            <v>Товары для кормления</v>
          </cell>
          <cell r="L494" t="str">
            <v>Детское питание</v>
          </cell>
        </row>
        <row r="495">
          <cell r="J495" t="str">
            <v>Манная каша</v>
          </cell>
          <cell r="K495" t="str">
            <v>Каши и пюре</v>
          </cell>
          <cell r="L495" t="str">
            <v>Детское питание</v>
          </cell>
        </row>
        <row r="496">
          <cell r="J496" t="str">
            <v>Мармелады</v>
          </cell>
          <cell r="K496" t="str">
            <v>Сладости</v>
          </cell>
          <cell r="L496" t="str">
            <v>Детское питание</v>
          </cell>
        </row>
        <row r="497">
          <cell r="J497" t="str">
            <v>Маршмеллоу</v>
          </cell>
          <cell r="K497" t="str">
            <v>Сладости</v>
          </cell>
          <cell r="L497" t="str">
            <v>Детское питание</v>
          </cell>
        </row>
        <row r="498">
          <cell r="J498" t="str">
            <v>Молоко</v>
          </cell>
          <cell r="K498" t="str">
            <v>Молочные изделия</v>
          </cell>
          <cell r="L498" t="str">
            <v>Детское питание</v>
          </cell>
        </row>
        <row r="499">
          <cell r="J499" t="str">
            <v>Молокоотсос</v>
          </cell>
          <cell r="K499" t="str">
            <v>Бутылочки и поильники</v>
          </cell>
          <cell r="L499" t="str">
            <v>Детское питание</v>
          </cell>
        </row>
        <row r="500">
          <cell r="J500" t="str">
            <v>Набор детской ложки и вилки</v>
          </cell>
          <cell r="K500" t="str">
            <v>Товары для кормления</v>
          </cell>
          <cell r="L500" t="str">
            <v>Детское питание</v>
          </cell>
        </row>
        <row r="501">
          <cell r="J501" t="str">
            <v>Набор детской посуды</v>
          </cell>
          <cell r="K501" t="str">
            <v>Товары для кормления</v>
          </cell>
          <cell r="L501" t="str">
            <v>Детское питание</v>
          </cell>
        </row>
        <row r="502">
          <cell r="J502" t="str">
            <v>Набор столовых приборов</v>
          </cell>
          <cell r="K502" t="str">
            <v>Товары для кормления</v>
          </cell>
          <cell r="L502" t="str">
            <v>Детское питание</v>
          </cell>
        </row>
        <row r="503">
          <cell r="J503" t="str">
            <v>Нектары</v>
          </cell>
          <cell r="K503" t="str">
            <v>Напитки для детей</v>
          </cell>
          <cell r="L503" t="str">
            <v>Детское питание</v>
          </cell>
        </row>
        <row r="504">
          <cell r="J504" t="str">
            <v>Ниблер</v>
          </cell>
          <cell r="K504" t="str">
            <v>Пустышки и соски</v>
          </cell>
          <cell r="L504" t="str">
            <v>Детское питание</v>
          </cell>
        </row>
        <row r="505">
          <cell r="J505" t="str">
            <v>Орешки</v>
          </cell>
          <cell r="K505" t="str">
            <v>Закуски и снеки</v>
          </cell>
          <cell r="L505" t="str">
            <v>Детское питание</v>
          </cell>
        </row>
        <row r="506">
          <cell r="J506" t="str">
            <v>Паста безглютеновая</v>
          </cell>
          <cell r="K506" t="str">
            <v>Каши и пюре</v>
          </cell>
          <cell r="L506" t="str">
            <v>Детское питание</v>
          </cell>
        </row>
        <row r="507">
          <cell r="J507" t="str">
            <v>Печенье</v>
          </cell>
          <cell r="K507" t="str">
            <v>Кондитерские изделия</v>
          </cell>
          <cell r="L507" t="str">
            <v>Детское питание</v>
          </cell>
        </row>
        <row r="508">
          <cell r="J508" t="str">
            <v>Пирожное</v>
          </cell>
          <cell r="K508" t="str">
            <v>Кондитерские изделия</v>
          </cell>
          <cell r="L508" t="str">
            <v>Детское питание</v>
          </cell>
        </row>
        <row r="509">
          <cell r="J509" t="str">
            <v>Подогреватель для бутылочек</v>
          </cell>
          <cell r="K509" t="str">
            <v>Бутылочки и поильники</v>
          </cell>
          <cell r="L509" t="str">
            <v>Детское питание</v>
          </cell>
        </row>
        <row r="510">
          <cell r="J510" t="str">
            <v>Поильник</v>
          </cell>
          <cell r="K510" t="str">
            <v>Бутылочки и поильники</v>
          </cell>
          <cell r="L510" t="str">
            <v>Детское питание</v>
          </cell>
        </row>
        <row r="511">
          <cell r="J511" t="str">
            <v>Попкорн</v>
          </cell>
          <cell r="K511" t="str">
            <v>Сладости</v>
          </cell>
          <cell r="L511" t="str">
            <v>Детское питание</v>
          </cell>
        </row>
        <row r="512">
          <cell r="J512" t="str">
            <v>Пряник</v>
          </cell>
          <cell r="K512" t="str">
            <v>Кондитерские изделия</v>
          </cell>
          <cell r="L512" t="str">
            <v>Детское питание</v>
          </cell>
        </row>
        <row r="513">
          <cell r="J513" t="str">
            <v>Пустышка</v>
          </cell>
          <cell r="K513" t="str">
            <v>Пустышки и соски</v>
          </cell>
          <cell r="L513" t="str">
            <v>Детское питание</v>
          </cell>
        </row>
        <row r="514">
          <cell r="J514" t="str">
            <v>Пюре</v>
          </cell>
          <cell r="K514" t="str">
            <v>Каши и пюре</v>
          </cell>
          <cell r="L514" t="str">
            <v>Детское питание</v>
          </cell>
        </row>
        <row r="515">
          <cell r="J515" t="str">
            <v>Рулет</v>
          </cell>
          <cell r="K515" t="str">
            <v>Кондитерские изделия</v>
          </cell>
          <cell r="L515" t="str">
            <v>Детское питание</v>
          </cell>
        </row>
        <row r="516">
          <cell r="J516" t="str">
            <v>Сгущенное молоко</v>
          </cell>
          <cell r="K516" t="str">
            <v>Молочные изделия</v>
          </cell>
          <cell r="L516" t="str">
            <v>Детское питание</v>
          </cell>
        </row>
        <row r="517">
          <cell r="J517" t="str">
            <v>Сливочное масло</v>
          </cell>
          <cell r="K517" t="str">
            <v>Молочные изделия</v>
          </cell>
          <cell r="L517" t="str">
            <v>Детское питание</v>
          </cell>
        </row>
        <row r="518">
          <cell r="J518" t="str">
            <v>Смесь</v>
          </cell>
          <cell r="K518" t="str">
            <v>Смеси</v>
          </cell>
          <cell r="L518" t="str">
            <v>Детское питание</v>
          </cell>
        </row>
        <row r="519">
          <cell r="J519" t="str">
            <v>Сметана</v>
          </cell>
          <cell r="K519" t="str">
            <v>Молочные изделия</v>
          </cell>
          <cell r="L519" t="str">
            <v>Детское питание</v>
          </cell>
        </row>
        <row r="520">
          <cell r="J520" t="str">
            <v>Сок</v>
          </cell>
          <cell r="K520" t="str">
            <v>Напитки и соки</v>
          </cell>
          <cell r="L520" t="str">
            <v>Детское питание</v>
          </cell>
        </row>
        <row r="521">
          <cell r="J521" t="str">
            <v>Соска</v>
          </cell>
          <cell r="K521" t="str">
            <v>Пустышки и соски</v>
          </cell>
          <cell r="L521" t="str">
            <v>Детское питание</v>
          </cell>
        </row>
        <row r="522">
          <cell r="J522" t="str">
            <v>Сушилка для бутылочек</v>
          </cell>
          <cell r="K522" t="str">
            <v>Бутылочки и поильники</v>
          </cell>
          <cell r="L522" t="str">
            <v>Детское питание</v>
          </cell>
        </row>
        <row r="523">
          <cell r="J523" t="str">
            <v>Набор бутылочек</v>
          </cell>
          <cell r="K523" t="str">
            <v>Бутылочки и поильники</v>
          </cell>
          <cell r="L523" t="str">
            <v>Детское питание</v>
          </cell>
        </row>
        <row r="524">
          <cell r="J524" t="str">
            <v>Стерилизатор для бутылочек</v>
          </cell>
          <cell r="K524" t="str">
            <v>Бутылочки и поильники</v>
          </cell>
          <cell r="L524" t="str">
            <v>Детское питание</v>
          </cell>
        </row>
        <row r="525">
          <cell r="J525" t="str">
            <v>Сухарики</v>
          </cell>
          <cell r="K525" t="str">
            <v>Закуски и снеки</v>
          </cell>
          <cell r="L525" t="str">
            <v>Детское питание</v>
          </cell>
        </row>
        <row r="526">
          <cell r="J526" t="str">
            <v>Сушки</v>
          </cell>
          <cell r="K526" t="str">
            <v>Кондитерские изделия</v>
          </cell>
          <cell r="L526" t="str">
            <v>Детское питание</v>
          </cell>
        </row>
        <row r="527">
          <cell r="J527" t="str">
            <v>Сырок</v>
          </cell>
          <cell r="K527" t="str">
            <v>Молочные изделия</v>
          </cell>
          <cell r="L527" t="str">
            <v>Детское питание</v>
          </cell>
        </row>
        <row r="528">
          <cell r="J528" t="str">
            <v>Творог</v>
          </cell>
          <cell r="K528" t="str">
            <v>Молочные изделия</v>
          </cell>
          <cell r="L528" t="str">
            <v>Детское питание</v>
          </cell>
        </row>
        <row r="529">
          <cell r="J529" t="str">
            <v>Термос</v>
          </cell>
          <cell r="K529" t="str">
            <v>Товары для кормления</v>
          </cell>
          <cell r="L529" t="str">
            <v>Детское питание</v>
          </cell>
        </row>
        <row r="530">
          <cell r="J530" t="str">
            <v>Фруктовые кусочки</v>
          </cell>
          <cell r="K530" t="str">
            <v>Сладости</v>
          </cell>
          <cell r="L530" t="str">
            <v>Детское питание</v>
          </cell>
        </row>
        <row r="531">
          <cell r="J531" t="str">
            <v>Фруктовый напиток</v>
          </cell>
          <cell r="K531" t="str">
            <v>Напитки для детей</v>
          </cell>
          <cell r="L531" t="str">
            <v>Детское питание</v>
          </cell>
        </row>
        <row r="532">
          <cell r="J532" t="str">
            <v>Футляр для пустышек</v>
          </cell>
          <cell r="K532" t="str">
            <v>Пустышки и соски</v>
          </cell>
          <cell r="L532" t="str">
            <v>Детское питание</v>
          </cell>
        </row>
        <row r="533">
          <cell r="J533" t="str">
            <v>Хлебцы</v>
          </cell>
          <cell r="K533" t="str">
            <v>Кондитерские изделия</v>
          </cell>
          <cell r="L533" t="str">
            <v>Детское питание</v>
          </cell>
        </row>
        <row r="534">
          <cell r="J534" t="str">
            <v>Холодный чай</v>
          </cell>
          <cell r="K534" t="str">
            <v>Напитки и соки</v>
          </cell>
          <cell r="L534" t="str">
            <v>Детское питание</v>
          </cell>
        </row>
        <row r="535">
          <cell r="J535" t="str">
            <v>Чашка непроливайка</v>
          </cell>
          <cell r="K535" t="str">
            <v>Бутылочки и поильники</v>
          </cell>
          <cell r="L535" t="str">
            <v>Детское питание</v>
          </cell>
        </row>
        <row r="536">
          <cell r="J536" t="str">
            <v>Чипсы</v>
          </cell>
          <cell r="K536" t="str">
            <v>Закуски и снеки</v>
          </cell>
          <cell r="L536" t="str">
            <v>Детское питание</v>
          </cell>
        </row>
        <row r="537">
          <cell r="J537" t="str">
            <v>Шоколадная конфета</v>
          </cell>
          <cell r="K537" t="str">
            <v>Сладости</v>
          </cell>
          <cell r="L537" t="str">
            <v>Детское питание</v>
          </cell>
        </row>
        <row r="538">
          <cell r="J538" t="str">
            <v>Шоколадная паста</v>
          </cell>
          <cell r="K538" t="str">
            <v>Сладости</v>
          </cell>
          <cell r="L538" t="str">
            <v>Детское питание</v>
          </cell>
        </row>
        <row r="539">
          <cell r="J539" t="str">
            <v>Шоколадное яйцо</v>
          </cell>
          <cell r="K539" t="str">
            <v>Сладости</v>
          </cell>
          <cell r="L539" t="str">
            <v>Детское питание</v>
          </cell>
        </row>
        <row r="540">
          <cell r="J540" t="str">
            <v>Шоколадные плитки</v>
          </cell>
          <cell r="K540" t="str">
            <v>Сладости</v>
          </cell>
          <cell r="L540" t="str">
            <v>Детское питание</v>
          </cell>
        </row>
        <row r="541">
          <cell r="J541" t="str">
            <v>Шоколадный батончик</v>
          </cell>
          <cell r="K541" t="str">
            <v>Сладости</v>
          </cell>
          <cell r="L541" t="str">
            <v>Детское питание</v>
          </cell>
        </row>
        <row r="542">
          <cell r="J542" t="str">
            <v>Щетка для бутылочек</v>
          </cell>
          <cell r="K542" t="str">
            <v>Бутылочки и поильники</v>
          </cell>
          <cell r="L542" t="str">
            <v>Детское питание</v>
          </cell>
        </row>
        <row r="543">
          <cell r="J543" t="str">
            <v>Силиконовые чехлы</v>
          </cell>
          <cell r="K543" t="str">
            <v>Чехлы</v>
          </cell>
          <cell r="L543" t="str">
            <v>Телефонные аксессуары</v>
          </cell>
        </row>
        <row r="544">
          <cell r="J544" t="str">
            <v>Жесткие чехлы</v>
          </cell>
          <cell r="K544" t="str">
            <v>Чехлы</v>
          </cell>
          <cell r="L544" t="str">
            <v>Телефонные аксессуары</v>
          </cell>
        </row>
        <row r="545">
          <cell r="J545" t="str">
            <v>Чехлы-книги</v>
          </cell>
          <cell r="K545" t="str">
            <v>Чехлы</v>
          </cell>
          <cell r="L545" t="str">
            <v>Телефонные аксессуары</v>
          </cell>
        </row>
        <row r="546">
          <cell r="J546" t="str">
            <v>Защитные пленки</v>
          </cell>
          <cell r="K546" t="str">
            <v>Чехлы</v>
          </cell>
          <cell r="L546" t="str">
            <v>Телефонные аксессуары</v>
          </cell>
        </row>
        <row r="547">
          <cell r="J547" t="str">
            <v>Чехлы с батареей</v>
          </cell>
          <cell r="K547" t="str">
            <v>Чехлы</v>
          </cell>
          <cell r="L547" t="str">
            <v>Телефонные аксессуары</v>
          </cell>
        </row>
        <row r="548">
          <cell r="J548" t="str">
            <v>Стекла для различных моделей телефонов</v>
          </cell>
          <cell r="K548" t="str">
            <v>Защитные стекла</v>
          </cell>
          <cell r="L548" t="str">
            <v>Телефонные аксессуары</v>
          </cell>
        </row>
        <row r="549">
          <cell r="J549" t="str">
            <v>Матовое стекло</v>
          </cell>
          <cell r="K549" t="str">
            <v>Защитные стекла</v>
          </cell>
          <cell r="L549" t="str">
            <v>Телефонные аксессуары</v>
          </cell>
        </row>
        <row r="550">
          <cell r="J550" t="str">
            <v>Закаленное стекло</v>
          </cell>
          <cell r="K550" t="str">
            <v>Защитные стекла</v>
          </cell>
          <cell r="L550" t="str">
            <v>Телефонные аксессуары</v>
          </cell>
        </row>
        <row r="551">
          <cell r="J551" t="str">
            <v>Оригинальные зарядные устройства</v>
          </cell>
          <cell r="K551" t="str">
            <v>Зарядные устройства</v>
          </cell>
          <cell r="L551" t="str">
            <v>Телефонные аксессуары</v>
          </cell>
        </row>
        <row r="552">
          <cell r="J552" t="str">
            <v>Универсальные зарядные устройства</v>
          </cell>
          <cell r="K552" t="str">
            <v>Зарядные устройства</v>
          </cell>
          <cell r="L552" t="str">
            <v>Телефонные аксессуары</v>
          </cell>
        </row>
        <row r="553">
          <cell r="J553" t="str">
            <v>Беспроводные зарядные устройства</v>
          </cell>
          <cell r="K553" t="str">
            <v>Зарядные устройства</v>
          </cell>
          <cell r="L553" t="str">
            <v>Телефонные аксессуары</v>
          </cell>
        </row>
        <row r="554">
          <cell r="J554" t="str">
            <v>Пауэрбанки</v>
          </cell>
          <cell r="K554" t="str">
            <v>Зарядные устройства</v>
          </cell>
          <cell r="L554" t="str">
            <v>Телефонные аксессуары</v>
          </cell>
        </row>
        <row r="555">
          <cell r="J555" t="str">
            <v>Провода наушники</v>
          </cell>
          <cell r="K555" t="str">
            <v>Наушники и гарнитуры</v>
          </cell>
          <cell r="L555" t="str">
            <v>Телефонные аксессуары</v>
          </cell>
        </row>
        <row r="556">
          <cell r="J556" t="str">
            <v>Беспроводные наушники</v>
          </cell>
          <cell r="K556" t="str">
            <v>Наушники и гарнитуры</v>
          </cell>
          <cell r="L556" t="str">
            <v>Телефонные аксессуары</v>
          </cell>
        </row>
        <row r="557">
          <cell r="J557" t="str">
            <v>Спортивные наушники</v>
          </cell>
          <cell r="K557" t="str">
            <v>Наушники и гарнитуры</v>
          </cell>
          <cell r="L557" t="str">
            <v>Телефонные аксессуары</v>
          </cell>
        </row>
        <row r="558">
          <cell r="J558" t="str">
            <v>Гарнитуры с микрофоном</v>
          </cell>
          <cell r="K558" t="str">
            <v>Наушники и гарнитуры</v>
          </cell>
          <cell r="L558" t="str">
            <v>Телефонные аксессуары</v>
          </cell>
        </row>
        <row r="559">
          <cell r="J559" t="str">
            <v>USB-кабели</v>
          </cell>
          <cell r="K559" t="str">
            <v>Кабели и переходники</v>
          </cell>
          <cell r="L559" t="str">
            <v>Телефонные аксессуары</v>
          </cell>
        </row>
        <row r="560">
          <cell r="J560" t="str">
            <v>HDMI-кабели</v>
          </cell>
          <cell r="K560" t="str">
            <v>Кабели и переходники</v>
          </cell>
          <cell r="L560" t="str">
            <v>Телефонные аксессуары</v>
          </cell>
        </row>
        <row r="561">
          <cell r="J561" t="str">
            <v>Аудио-кабели</v>
          </cell>
          <cell r="K561" t="str">
            <v>Кабели и переходники</v>
          </cell>
          <cell r="L561" t="str">
            <v>Телефонные аксессуары</v>
          </cell>
        </row>
        <row r="562">
          <cell r="J562" t="str">
            <v>Переходники для зарядки</v>
          </cell>
          <cell r="K562" t="str">
            <v>Кабели и переходники</v>
          </cell>
          <cell r="L562" t="str">
            <v>Телефонные аксессуары</v>
          </cell>
        </row>
        <row r="563">
          <cell r="J563" t="str">
            <v>Bluetooth-колонки</v>
          </cell>
          <cell r="K563" t="str">
            <v>Аудиоаксессуары</v>
          </cell>
          <cell r="L563" t="str">
            <v>Телефонные аксессуары</v>
          </cell>
        </row>
        <row r="564">
          <cell r="J564" t="str">
            <v>Автомобильные FM-трансмиттеры</v>
          </cell>
          <cell r="K564" t="str">
            <v>Аудиоаксессуары</v>
          </cell>
          <cell r="L564" t="str">
            <v>Телефонные аксессуары</v>
          </cell>
        </row>
        <row r="565">
          <cell r="J565" t="str">
            <v>Адаптеры для наушников</v>
          </cell>
          <cell r="K565" t="str">
            <v>Аудиоаксессуары</v>
          </cell>
          <cell r="L565" t="str">
            <v>Телефонные аксессуары</v>
          </cell>
        </row>
        <row r="566">
          <cell r="J566" t="str">
            <v>Подставки для телефонов</v>
          </cell>
          <cell r="K566" t="str">
            <v>Подставки и крепления</v>
          </cell>
          <cell r="L566" t="str">
            <v>Телефонные аксессуары</v>
          </cell>
        </row>
        <row r="567">
          <cell r="J567" t="str">
            <v>Крепления для автомобилей</v>
          </cell>
          <cell r="K567" t="str">
            <v>Подставки и крепления</v>
          </cell>
          <cell r="L567" t="str">
            <v>Телефонные аксессуары</v>
          </cell>
        </row>
        <row r="568">
          <cell r="J568" t="str">
            <v>Прищепки и держатели для столов</v>
          </cell>
          <cell r="K568" t="str">
            <v>Подставки и крепления</v>
          </cell>
          <cell r="L568" t="str">
            <v>Телефонные аксессуары</v>
          </cell>
        </row>
        <row r="569">
          <cell r="J569" t="str">
            <v>Зарядные устройства для авто</v>
          </cell>
          <cell r="K569" t="str">
            <v>Мобильные аксессуары для автомобилей</v>
          </cell>
          <cell r="L569" t="str">
            <v>Телефонные аксессуары</v>
          </cell>
        </row>
        <row r="570">
          <cell r="J570" t="str">
            <v>Держатели для телефонов</v>
          </cell>
          <cell r="K570" t="str">
            <v>Мобильные аксессуары для автомобилей</v>
          </cell>
          <cell r="L570" t="str">
            <v>Телефонные аксессуары</v>
          </cell>
        </row>
        <row r="571">
          <cell r="J571" t="str">
            <v>Bluetooth-гарнитуры</v>
          </cell>
          <cell r="K571" t="str">
            <v>Мобильные аксессуары для автомобилей</v>
          </cell>
          <cell r="L571" t="str">
            <v>Телефонные аксессуары</v>
          </cell>
        </row>
        <row r="572">
          <cell r="J572" t="str">
            <v>Скечерс</v>
          </cell>
          <cell r="K572" t="str">
            <v>Кроссовки и кеды</v>
          </cell>
          <cell r="L572" t="str">
            <v>Обувь</v>
          </cell>
        </row>
        <row r="573">
          <cell r="J573" t="str">
            <v>Чистящие средства</v>
          </cell>
          <cell r="K573" t="str">
            <v>Косметические аксессуары</v>
          </cell>
          <cell r="L573" t="str">
            <v>Телефонные аксессуары</v>
          </cell>
        </row>
        <row r="574">
          <cell r="J574" t="str">
            <v>Сумки для аксессуаров</v>
          </cell>
          <cell r="K574" t="str">
            <v>Косметические аксессуары</v>
          </cell>
          <cell r="L574" t="str">
            <v>Телефонные аксессуары</v>
          </cell>
        </row>
        <row r="575">
          <cell r="J575" t="str">
            <v>Органайзеры</v>
          </cell>
          <cell r="K575" t="str">
            <v>Косметические аксессуары</v>
          </cell>
          <cell r="L575" t="str">
            <v>Телефонные аксессуары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55" unboundColumnsRight="3">
    <queryTableFields count="18">
      <queryTableField id="1" name="Модель" tableColumnId="1"/>
      <queryTableField id="2" name="Вид товара" tableColumnId="2"/>
      <queryTableField id="3" name="Категория" tableColumnId="3"/>
      <queryTableField id="4" name="Группы" tableColumnId="4"/>
      <queryTableField id="5" name="Код модели" tableColumnId="5"/>
      <queryTableField id="6" name="Бренд" tableColumnId="6"/>
      <queryTableField id="22" name="Коллекция" tableColumnId="7"/>
      <queryTableField id="23" name="Сезон" tableColumnId="8"/>
      <queryTableField id="11" name="Размерный ряд" tableColumnId="11"/>
      <queryTableField id="24" name="Серия" tableColumnId="9"/>
      <queryTableField id="46" name="Закупочная цена" tableColumnId="13"/>
      <queryTableField id="14" name="Цена продажи" tableColumnId="14"/>
      <queryTableField id="17" name="Цвет" tableColumnId="17"/>
      <queryTableField id="12" name="Количество" tableColumnId="12"/>
      <queryTableField id="45" name="Описание" tableColumnId="10"/>
      <queryTableField id="21" dataBound="0" tableColumnId="18"/>
      <queryTableField id="38" dataBound="0" tableColumnId="20"/>
      <queryTableField id="35" dataBound="0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17398-4A63-4EF7-B443-5EB737E57F27}" name="Таблица1" displayName="Таблица1" ref="A2:CB31" totalsRowShown="0" dataDxfId="108" tableBorderDxfId="107">
  <autoFilter ref="A2:CB31" xr:uid="{F1579830-10A7-46F7-A9AF-2C6BD3E004DE}"/>
  <tableColumns count="80">
    <tableColumn id="1" xr3:uid="{44F17672-F2A2-47A1-AEEF-2FD8755C23CF}" name="Модель" dataDxfId="106">
      <calculatedColumnFormula>IF(F3="","",_xlfn.CONCAT(_xlfn.IFNA(VLOOKUP(I3,Ruyxat!$F$2:$G$6,2,0),""),_xlfn.IFNA(VLOOKUP(F3,Ruyxat!$T$2:$U$16,2,0),""),TEXT($B$1+1,"00000")))</calculatedColumnFormula>
    </tableColumn>
    <tableColumn id="2" xr3:uid="{CFAC1FDD-6192-4DD6-B494-7BAE52A4B3AA}" name="Образец" dataDxfId="105"/>
    <tableColumn id="3" xr3:uid="{BC4DBFD6-9203-4257-AFA8-64BAD22FF48E}" name="Варианты" dataDxfId="104">
      <calculatedColumnFormula>Ruyxat!B23</calculatedColumnFormula>
    </tableColumn>
    <tableColumn id="4" xr3:uid="{811F3121-AC4B-4EEA-A5E2-E1F004000483}" name="Вид товара" dataDxfId="103"/>
    <tableColumn id="5" xr3:uid="{82673D33-63BE-4700-92C7-7AE137DF2E50}" name="Категория" dataDxfId="102">
      <calculatedColumnFormula>_xlfn.IFNA(VLOOKUP(D3,[1]Ruyxat!$J$2:$L$601,2,0),"")</calculatedColumnFormula>
    </tableColumn>
    <tableColumn id="6" xr3:uid="{5EB67880-0E93-4265-AA64-6DB95AD1C838}" name="Группы" dataDxfId="101">
      <calculatedColumnFormula>_xlfn.IFNA(VLOOKUP(D3,[1]Ruyxat!$J$2:$L$601,3,0),"")</calculatedColumnFormula>
    </tableColumn>
    <tableColumn id="7" xr3:uid="{07128014-5DBA-4216-B33E-B8BDD6BAD645}" name="Код модели" dataDxfId="100"/>
    <tableColumn id="8" xr3:uid="{4AE038DD-3BD6-4E05-93DF-70F54C4AA7C3}" name="Бренд" dataDxfId="99"/>
    <tableColumn id="10" xr3:uid="{FE6A1750-C2E4-4215-B210-9D13F77B1867}" name="Коллекция" dataDxfId="98"/>
    <tableColumn id="11" xr3:uid="{65E9439D-12A4-4D27-8D26-91CF29605C3E}" name="Сезон" dataDxfId="97"/>
    <tableColumn id="14" xr3:uid="{2F41053C-F958-4423-A251-FE89F99C3AF8}" name="Размерный ряд" dataDxfId="96"/>
    <tableColumn id="12" xr3:uid="{76E97EC7-8E43-48CD-B28B-BF5C65E035A0}" name="Описание" dataDxfId="95"/>
    <tableColumn id="13" xr3:uid="{5453CF4E-3E29-490E-B259-5FD0047D34CE}" name="Наименование" dataDxfId="94">
      <calculatedColumnFormula>IF(D3="","",TRIM(D3&amp;" "&amp;L3&amp;" "&amp;H3&amp;" "&amp;G3))</calculatedColumnFormula>
    </tableColumn>
    <tableColumn id="47" xr3:uid="{5C3178F7-32B6-4674-9819-02D50035C653}" name="Серия" dataDxfId="93" dataCellStyle="Финансовый"/>
    <tableColumn id="15" xr3:uid="{A15DF49A-1913-4A4E-B847-76E1C0E1101D}" name="Количество" dataDxfId="92" dataCellStyle="Финансовый"/>
    <tableColumn id="16" xr3:uid="{FCCBFABE-6D5A-464E-A241-DE94B5A35BC5}" name="Закупочная цена" dataDxfId="91" dataCellStyle="Финансовый"/>
    <tableColumn id="17" xr3:uid="{69426BF1-598B-4A7B-B061-629FAE7CDC2E}" name="Надценка" dataDxfId="90" dataCellStyle="Процентный"/>
    <tableColumn id="18" xr3:uid="{E8FD9ED9-6831-46EA-8B7B-3A539513FCF0}" name="Цена продажи" dataDxfId="89">
      <calculatedColumnFormula>IF([1]Asosiy!$O3="","",ROUND([1]Asosiy!$P3*(1+[1]Asosiy!$Q3),-3))</calculatedColumnFormula>
    </tableColumn>
    <tableColumn id="19" xr3:uid="{87C67132-1036-4F7D-A0EF-5BA22AB770A6}" name="Сумма закупа" dataDxfId="88">
      <calculatedColumnFormula>IF([1]Asosiy!$O3="","",[1]Asosiy!$O3*[1]Asosiy!$P3)</calculatedColumnFormula>
    </tableColumn>
    <tableColumn id="20" xr3:uid="{369976F9-8BB8-4A8F-A1E2-6D8310843FF4}" name="Сумма продажи" dataDxfId="87">
      <calculatedColumnFormula>IF([1]Asosiy!$O3="","",[1]Asosiy!$O3*[1]Asosiy!$R3)</calculatedColumnFormula>
    </tableColumn>
    <tableColumn id="21" xr3:uid="{9400279F-81C5-4972-9CAA-30C46707A0AD}" name="Тест" dataDxfId="50">
      <calculatedColumnFormula>IF($O3="","",IF($O3=SUM($V3:$CB3),"OK","ERROR"))</calculatedColumnFormula>
    </tableColumn>
    <tableColumn id="22" xr3:uid="{0286A9E9-BEB0-4D5F-A8C7-745F6186C1B5}" name="Multicolor" dataDxfId="86"/>
    <tableColumn id="23" xr3:uid="{760BFB6B-9C8A-4246-8491-0B59BDAB8159}" name="Beyaz" dataDxfId="85"/>
    <tableColumn id="69" xr3:uid="{2D506F15-B982-414E-909D-A9B540444A6C}" name="Vizon-Ekru" dataDxfId="41"/>
    <tableColumn id="76" xr3:uid="{AD719B8A-61C9-45B2-B41E-6003F35663F5}" name="Caramel" dataDxfId="34"/>
    <tableColumn id="24" xr3:uid="{0716B1CC-61FF-484F-908E-DF245B2601ED}" name="Ekru " dataDxfId="84"/>
    <tableColumn id="25" xr3:uid="{F97F2CD2-FA2E-4523-8354-64CB80DA7FE4}" name="Beige" dataDxfId="83"/>
    <tableColumn id="26" xr3:uid="{0563BB80-F117-4F29-A948-40B6F3811BC9}" name="Sari" dataDxfId="82"/>
    <tableColumn id="71" xr3:uid="{47FBE6F3-8788-43AF-AC1F-2C375ECB5F19}" name="Keten" dataDxfId="39"/>
    <tableColumn id="72" xr3:uid="{1613725B-3A47-4884-AE61-7B9A5743E002}" name="K.laci-Kiremit" dataDxfId="38"/>
    <tableColumn id="27" xr3:uid="{F1E9E3AA-66B6-4F6C-8CC6-3C4E569FA710}" name="Kiremit " dataDxfId="81"/>
    <tableColumn id="28" xr3:uid="{3F3BA896-3A29-44DC-B482-1E1E89D39294}" name="Bordo" dataDxfId="80"/>
    <tableColumn id="67" xr3:uid="{85158DA4-8DA6-4810-A283-BD4CACA1404F}" name="Bordo K.Laci" dataDxfId="43"/>
    <tableColumn id="29" xr3:uid="{59143A19-F940-4A72-BFD2-C83A5F60EF01}" name="K.Bordo " dataDxfId="79"/>
    <tableColumn id="30" xr3:uid="{135281E7-F717-4AC1-A4DE-92EC1632CE0C}" name="Pink" dataDxfId="78"/>
    <tableColumn id="31" xr3:uid="{A6FFAEC7-E4CA-4D81-8E78-2D82FED34365}" name="Violet" dataDxfId="77"/>
    <tableColumn id="32" xr3:uid="{FBD938D2-216D-4165-AA5B-E733F2AFE5DE}" name="A.Yesil" dataDxfId="76"/>
    <tableColumn id="33" xr3:uid="{F47744DF-26DE-4A12-BF4B-B66ADD780886}" name="Yesil" dataDxfId="75"/>
    <tableColumn id="73" xr3:uid="{FA595669-DD57-4FC8-AF4D-C8982A4C6859}" name="P.Yesil-Siyah" dataDxfId="37"/>
    <tableColumn id="82" xr3:uid="{AC6D1544-6B6B-4818-BD8E-110CD1D1022B}" name="K.Laci.P.Yesil" dataDxfId="28"/>
    <tableColumn id="34" xr3:uid="{08180CE4-1186-4AB9-949C-E9630BA61F19}" name="P.Yesil" dataDxfId="74"/>
    <tableColumn id="64" xr3:uid="{573831C2-D8EC-412C-91E5-2C5CCC5C2095}" name="A.Haki" dataDxfId="45"/>
    <tableColumn id="65" xr3:uid="{777C26C9-F292-4EB7-87EC-06F4E74CAD0E}" name="M.Petrol" dataDxfId="44"/>
    <tableColumn id="35" xr3:uid="{E8A83288-B79B-45CE-83C6-5F11BA51913A}" name="Haki" dataDxfId="73"/>
    <tableColumn id="36" xr3:uid="{E2757281-EA19-4A8F-9D81-DA6C3665C10E}" name="Mint" dataDxfId="72"/>
    <tableColumn id="37" xr3:uid="{58C50D99-C249-4183-B922-AF4AAB243281}" name="Turkuaz" dataDxfId="71"/>
    <tableColumn id="63" xr3:uid="{9E265E6E-E355-4E94-A96F-0311B97089EE}" name="A.Mavi" dataDxfId="46"/>
    <tableColumn id="60" xr3:uid="{AF9622A3-94B2-47E4-B12A-58BDB22BC5AF}" name="P.Mavi.Melan" dataDxfId="48"/>
    <tableColumn id="80" xr3:uid="{45C374FF-F73B-4AF9-91A6-06CCBA8C462D}" name="Petrol.Mavi" dataDxfId="30"/>
    <tableColumn id="38" xr3:uid="{493D8A8A-B0B6-4EBE-AF69-DFCD1CD018F4}" name="Mavi " dataDxfId="70"/>
    <tableColumn id="81" xr3:uid="{E8647F0A-6670-48C7-B9EE-7F5478B2B76A}" name="Kirmizi" dataDxfId="29"/>
    <tableColumn id="39" xr3:uid="{07C1FABB-DBCE-4DC9-8816-80BB0191EC5B}" name="Lacivert " dataDxfId="69"/>
    <tableColumn id="49" xr3:uid="{F0495CE2-9441-4676-AAFC-E4F3D973FB00}" name="Indigo" dataDxfId="68"/>
    <tableColumn id="70" xr3:uid="{296BF026-B272-439C-9E88-68E1F96D28B9}" name="K.Laci-Indigo" dataDxfId="40"/>
    <tableColumn id="40" xr3:uid="{F7898E52-BFD3-41AA-A544-8E66DC9C0773}" name="K.Lacivert" dataDxfId="67"/>
    <tableColumn id="41" xr3:uid="{7E5D281C-F7CB-4981-8AF5-FBDB8942C6D8}" name="GRI" dataDxfId="66"/>
    <tableColumn id="42" xr3:uid="{BA0B2A16-675C-4CCF-BD8B-EB007859EE72}" name="K.GRI" dataDxfId="65"/>
    <tableColumn id="48" xr3:uid="{0BB83B58-6551-49D0-92B0-02540FAC8F43}" name="Haki.Kahva" dataDxfId="52"/>
    <tableColumn id="59" xr3:uid="{C3E31E03-15C7-42A6-84E3-B1044923118B}" name="K.Kahve.Kahve" dataDxfId="49"/>
    <tableColumn id="43" xr3:uid="{DC385BDF-8163-4560-9BE8-70CEABE6D33C}" name="Kahve" dataDxfId="64"/>
    <tableColumn id="44" xr3:uid="{9603840E-040E-4F23-923D-DBD8D628CFDB}" name="K.Kahve" dataDxfId="63"/>
    <tableColumn id="58" xr3:uid="{1D0D7F5B-3395-4262-8A38-FA123E736A92}" name="K.Laci.Kahve" dataDxfId="51"/>
    <tableColumn id="68" xr3:uid="{4942282B-2602-4656-ABC1-C08A1B869669}" name="Kahvamel" dataDxfId="42"/>
    <tableColumn id="45" xr3:uid="{2C861C1A-32EE-4191-944C-D651B96539CD}" name="A.Lacivert" dataDxfId="62"/>
    <tableColumn id="46" xr3:uid="{6610BBFE-C012-4AC6-9450-06A606C71BCD}" name="K.Indigo" dataDxfId="61"/>
    <tableColumn id="78" xr3:uid="{83C3B16B-DBBA-4AFA-AF55-E9E835E02839}" name="Sax" dataDxfId="32"/>
    <tableColumn id="77" xr3:uid="{AFC85558-E3BC-4B0A-90AD-672458C09F1C}" name="K.Taba" dataDxfId="33"/>
    <tableColumn id="50" xr3:uid="{EC9F9849-B549-4CE7-81FA-7E4C195C8D0A}" name="Taba" dataDxfId="60"/>
    <tableColumn id="51" xr3:uid="{E7F2938C-ECFA-427D-9EAF-D77583321569}" name="Vizon " dataDxfId="59"/>
    <tableColumn id="83" xr3:uid="{A9468A05-2FFE-4C6D-B3FA-2C700515B089}" name="Vizon.K.Kahve" dataDxfId="27"/>
    <tableColumn id="52" xr3:uid="{E698E3E5-BA91-4D61-84F2-0A36A897F1A2}" name="K.Vizon " dataDxfId="58"/>
    <tableColumn id="79" xr3:uid="{6A8C6EBA-B1AE-49F5-8B4B-B99C8D8CE62A}" name="Kum.Bej" dataDxfId="31"/>
    <tableColumn id="75" xr3:uid="{DF47F5BE-CFD4-4904-ACCD-3DBEF6D8B71C}" name="K.Bej.Ekru" dataDxfId="35"/>
    <tableColumn id="53" xr3:uid="{D6E277A4-CB1F-4F68-A225-906C1DBC8AF2}" name="K.Bej " dataDxfId="57"/>
    <tableColumn id="74" xr3:uid="{EEC0522A-E124-413E-AA41-30BC9FD054ED}" name="A.Bej.Ekru" dataDxfId="36"/>
    <tableColumn id="54" xr3:uid="{CD471099-CB64-4637-87E2-9C4C6CF59824}" name="A.Bej " dataDxfId="56"/>
    <tableColumn id="55" xr3:uid="{5F956BC9-E336-4A73-B0EF-A57C1DC69EEC}" name="Antrasit " dataDxfId="55"/>
    <tableColumn id="62" xr3:uid="{CBD4FEB9-BFE5-45C0-AFC1-FFCB3803F402}" name="A.Kiremit" dataDxfId="47"/>
    <tableColumn id="56" xr3:uid="{788A9D87-D06C-4D03-8CFB-EE1CDE4498F7}" name="K.Kiremit" dataDxfId="54"/>
    <tableColumn id="57" xr3:uid="{3A6790EB-D52B-40BE-83BE-3E9CA932551D}" name="Siyah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9114DB-E063-4C9E-88D2-AE42CB9E45FE}" name="Таблица1_2" displayName="Таблица1_2" ref="A1:R11" tableType="queryTable" totalsRowShown="0">
  <autoFilter ref="A1:R11" xr:uid="{7587E6B8-045C-4EEF-88AF-3BAABCE8C982}"/>
  <tableColumns count="18">
    <tableColumn id="1" xr3:uid="{9B673A5B-5BFC-4274-8A92-51F90531091C}" uniqueName="1" name="Модель" queryTableFieldId="1"/>
    <tableColumn id="2" xr3:uid="{697D4010-AE80-48A2-AC07-7ED412E7E9DA}" uniqueName="2" name="Вид товара" queryTableFieldId="2"/>
    <tableColumn id="3" xr3:uid="{E1239ED1-D096-4DC6-ADC2-E4DF1DA6F908}" uniqueName="3" name="Категория" queryTableFieldId="3"/>
    <tableColumn id="4" xr3:uid="{69DD6F21-B6B2-4204-B3CD-C24F29968455}" uniqueName="4" name="Группы" queryTableFieldId="4"/>
    <tableColumn id="5" xr3:uid="{F4C9CB7F-43EF-45DE-AF1A-B612CCB9B68B}" uniqueName="5" name="Код модели" queryTableFieldId="5"/>
    <tableColumn id="6" xr3:uid="{C5CA22CD-C9BB-46EC-88E5-CB552AC84BB0}" uniqueName="6" name="Бренд" queryTableFieldId="6"/>
    <tableColumn id="7" xr3:uid="{11B4DA78-FBC4-44FA-8F43-3882ECCB151C}" uniqueName="7" name="Коллекция" queryTableFieldId="22"/>
    <tableColumn id="8" xr3:uid="{12C84F93-DA7C-47D9-8181-49F8E2DCC058}" uniqueName="8" name="Сезон" queryTableFieldId="23"/>
    <tableColumn id="11" xr3:uid="{60024D2E-3EB8-4426-9ECE-33556DF77EBB}" uniqueName="11" name="Размерный ряд" queryTableFieldId="11"/>
    <tableColumn id="9" xr3:uid="{837986F9-8C30-4194-BD48-77FBA0ADF968}" uniqueName="9" name="Серия" queryTableFieldId="24"/>
    <tableColumn id="13" xr3:uid="{C076C83C-D869-404E-9E4C-40A706575816}" uniqueName="13" name="Закупочная цена" queryTableFieldId="46"/>
    <tableColumn id="14" xr3:uid="{7A0D188E-EED9-4A4C-92AF-ABE3D9AE4F3A}" uniqueName="14" name="Цена продажи" queryTableFieldId="14"/>
    <tableColumn id="17" xr3:uid="{AD3ADAE9-233D-4159-96B2-4343C1AAA566}" uniqueName="17" name="Цвет" queryTableFieldId="17"/>
    <tableColumn id="12" xr3:uid="{AC920DFD-4BE1-439B-955B-3B12E14B252D}" uniqueName="12" name="Количество" queryTableFieldId="12" dataDxfId="26"/>
    <tableColumn id="10" xr3:uid="{CFD73C1E-EDC1-4C95-BFC6-F7850704C18B}" uniqueName="10" name="Описание" queryTableFieldId="45" dataDxfId="25"/>
    <tableColumn id="18" xr3:uid="{778BC9C8-210B-499D-BAED-4350E8BFD983}" uniqueName="18" name="Артикул" queryTableFieldId="21">
      <calculatedColumnFormula>_xlfn.CONCAT(A2,VLOOKUP(M2,Ruyxat!Z:AA,2,0))</calculatedColumnFormula>
    </tableColumn>
    <tableColumn id="20" xr3:uid="{AACAF495-A842-4D4A-8FFF-089F60CE29C5}" uniqueName="20" name="Наименование" queryTableFieldId="38">
      <calculatedColumnFormula>IF(B2="","",TRIM(B2&amp;" "&amp;O2&amp;"  "&amp;E2&amp;" "&amp;F2&amp;" "&amp;R2))</calculatedColumnFormula>
    </tableColumn>
    <tableColumn id="19" xr3:uid="{EE22BF7A-3F93-476F-82E9-8DAFCA682D64}" uniqueName="19" name="Код цвета" queryTableFieldId="35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4FF8-CFD3-459E-8627-ACC50EE0E287}">
  <dimension ref="A1:CB31"/>
  <sheetViews>
    <sheetView tabSelected="1" zoomScaleNormal="100" workbookViewId="0">
      <selection activeCell="D5" sqref="D5"/>
    </sheetView>
  </sheetViews>
  <sheetFormatPr defaultRowHeight="15" x14ac:dyDescent="0.25"/>
  <cols>
    <col min="1" max="1" width="15.140625" customWidth="1"/>
    <col min="2" max="2" width="14.85546875" customWidth="1"/>
    <col min="3" max="3" width="30.7109375" bestFit="1" customWidth="1"/>
    <col min="4" max="4" width="18.140625" customWidth="1"/>
    <col min="5" max="5" width="16.5703125" style="85" customWidth="1"/>
    <col min="6" max="6" width="16.5703125" bestFit="1" customWidth="1"/>
    <col min="7" max="7" width="15.140625" style="46" customWidth="1"/>
    <col min="8" max="8" width="13.140625" customWidth="1"/>
    <col min="9" max="9" width="14" customWidth="1"/>
    <col min="10" max="10" width="14.28515625" customWidth="1"/>
    <col min="11" max="11" width="14.140625" customWidth="1"/>
    <col min="12" max="12" width="25.140625" customWidth="1"/>
    <col min="13" max="13" width="44" customWidth="1"/>
    <col min="14" max="14" width="9.7109375" customWidth="1"/>
    <col min="15" max="15" width="13.5703125" style="96" customWidth="1"/>
    <col min="16" max="16" width="14.140625" style="96" customWidth="1"/>
    <col min="17" max="17" width="18.140625" style="96" customWidth="1"/>
    <col min="18" max="18" width="19" style="96" customWidth="1"/>
    <col min="19" max="19" width="16.5703125" customWidth="1"/>
    <col min="20" max="20" width="17.42578125" customWidth="1"/>
    <col min="21" max="21" width="12" style="86" customWidth="1"/>
    <col min="22" max="22" width="16.5703125" style="87" bestFit="1" customWidth="1"/>
    <col min="23" max="23" width="11.7109375" style="87" bestFit="1" customWidth="1"/>
    <col min="24" max="25" width="13" style="87" customWidth="1"/>
    <col min="26" max="26" width="10.7109375" style="87" bestFit="1" customWidth="1"/>
    <col min="27" max="27" width="11.42578125" style="87" bestFit="1" customWidth="1"/>
    <col min="28" max="28" width="9.42578125" bestFit="1" customWidth="1"/>
    <col min="29" max="29" width="10.140625" customWidth="1"/>
    <col min="30" max="30" width="16.7109375" customWidth="1"/>
    <col min="31" max="31" width="14" bestFit="1" customWidth="1"/>
    <col min="32" max="32" width="11.7109375" bestFit="1" customWidth="1"/>
    <col min="33" max="33" width="15.85546875" customWidth="1"/>
    <col min="34" max="34" width="14.42578125" bestFit="1" customWidth="1"/>
    <col min="35" max="35" width="10" bestFit="1" customWidth="1"/>
    <col min="36" max="36" width="11.85546875" bestFit="1" customWidth="1"/>
    <col min="37" max="37" width="12.7109375" bestFit="1" customWidth="1"/>
    <col min="38" max="38" width="10.42578125" bestFit="1" customWidth="1"/>
    <col min="39" max="40" width="16" customWidth="1"/>
    <col min="41" max="41" width="12.42578125" bestFit="1" customWidth="1"/>
    <col min="42" max="43" width="12.42578125" customWidth="1"/>
    <col min="44" max="44" width="10.28515625" bestFit="1" customWidth="1"/>
    <col min="45" max="45" width="10.5703125" bestFit="1" customWidth="1"/>
    <col min="46" max="46" width="13.7109375" bestFit="1" customWidth="1"/>
    <col min="47" max="47" width="13.7109375" customWidth="1"/>
    <col min="48" max="49" width="17.140625" customWidth="1"/>
    <col min="50" max="50" width="11.28515625" bestFit="1" customWidth="1"/>
    <col min="51" max="51" width="11.28515625" customWidth="1"/>
    <col min="52" max="52" width="14.42578125" bestFit="1" customWidth="1"/>
    <col min="53" max="53" width="12" bestFit="1" customWidth="1"/>
    <col min="54" max="54" width="16.28515625" customWidth="1"/>
    <col min="55" max="55" width="16" bestFit="1" customWidth="1"/>
    <col min="56" max="56" width="9.28515625" bestFit="1" customWidth="1"/>
    <col min="57" max="57" width="11.28515625" bestFit="1" customWidth="1"/>
    <col min="58" max="58" width="14.140625" customWidth="1"/>
    <col min="59" max="59" width="17.140625" customWidth="1"/>
    <col min="60" max="60" width="12" bestFit="1" customWidth="1"/>
    <col min="61" max="61" width="14.140625" bestFit="1" customWidth="1"/>
    <col min="62" max="63" width="16.140625" customWidth="1"/>
    <col min="64" max="64" width="16.140625" bestFit="1" customWidth="1"/>
    <col min="65" max="65" width="14.140625" bestFit="1" customWidth="1"/>
    <col min="66" max="67" width="14.140625" customWidth="1"/>
    <col min="68" max="68" width="10.42578125" bestFit="1" customWidth="1"/>
    <col min="69" max="69" width="11.85546875" bestFit="1" customWidth="1"/>
    <col min="70" max="70" width="17.140625" customWidth="1"/>
    <col min="71" max="71" width="14" bestFit="1" customWidth="1"/>
    <col min="72" max="73" width="14" customWidth="1"/>
    <col min="74" max="74" width="11.5703125" bestFit="1" customWidth="1"/>
    <col min="75" max="75" width="13.140625" customWidth="1"/>
    <col min="76" max="76" width="11.7109375" bestFit="1" customWidth="1"/>
    <col min="77" max="77" width="14.42578125" bestFit="1" customWidth="1"/>
    <col min="78" max="78" width="14.42578125" customWidth="1"/>
    <col min="79" max="79" width="15.5703125" bestFit="1" customWidth="1"/>
    <col min="80" max="80" width="11.140625" bestFit="1" customWidth="1"/>
  </cols>
  <sheetData>
    <row r="1" spans="1:80" ht="18.75" x14ac:dyDescent="0.3">
      <c r="A1" s="45" t="s">
        <v>489</v>
      </c>
      <c r="B1" s="45">
        <v>404</v>
      </c>
      <c r="E1"/>
      <c r="K1" s="47"/>
      <c r="M1" s="47">
        <f>SUM(O3:O31)</f>
        <v>410</v>
      </c>
      <c r="N1" s="91"/>
      <c r="O1" s="91"/>
      <c r="P1" s="91"/>
      <c r="Q1" s="47">
        <f>SUM(S3:S31)</f>
        <v>61500000</v>
      </c>
      <c r="R1" s="47">
        <f>SUM(T3:T31)</f>
        <v>71750000</v>
      </c>
      <c r="S1" s="48"/>
      <c r="T1" s="49"/>
      <c r="U1" s="49"/>
      <c r="V1" s="50">
        <v>34</v>
      </c>
      <c r="W1" s="50">
        <v>1</v>
      </c>
      <c r="X1" s="50"/>
      <c r="Y1" s="50"/>
      <c r="Z1" s="50">
        <v>2</v>
      </c>
      <c r="AA1" s="50">
        <v>3</v>
      </c>
      <c r="AB1" s="50">
        <v>4</v>
      </c>
      <c r="AC1" s="50"/>
      <c r="AD1" s="50"/>
      <c r="AE1" s="50">
        <v>5</v>
      </c>
      <c r="AF1" s="50">
        <v>6</v>
      </c>
      <c r="AG1" s="50"/>
      <c r="AH1" s="50">
        <v>7</v>
      </c>
      <c r="AI1" s="50">
        <v>8</v>
      </c>
      <c r="AJ1" s="50">
        <v>9</v>
      </c>
      <c r="AK1" s="50">
        <v>10</v>
      </c>
      <c r="AL1" s="50">
        <v>11</v>
      </c>
      <c r="AM1" s="50"/>
      <c r="AN1" s="50"/>
      <c r="AO1" s="50">
        <v>12</v>
      </c>
      <c r="AP1" s="50"/>
      <c r="AQ1" s="50"/>
      <c r="AR1" s="50">
        <v>13</v>
      </c>
      <c r="AS1" s="50">
        <v>14</v>
      </c>
      <c r="AT1" s="50">
        <v>15</v>
      </c>
      <c r="AU1" s="50"/>
      <c r="AV1" s="50"/>
      <c r="AW1" s="50"/>
      <c r="AX1" s="50">
        <v>16</v>
      </c>
      <c r="AY1" s="50"/>
      <c r="AZ1" s="50">
        <v>17</v>
      </c>
      <c r="BA1" s="50">
        <v>18</v>
      </c>
      <c r="BB1" s="50"/>
      <c r="BC1" s="50">
        <v>19</v>
      </c>
      <c r="BD1" s="50">
        <v>20</v>
      </c>
      <c r="BE1" s="50">
        <v>21</v>
      </c>
      <c r="BF1" s="50"/>
      <c r="BG1" s="50"/>
      <c r="BH1" s="50">
        <v>22</v>
      </c>
      <c r="BI1" s="50">
        <v>23</v>
      </c>
      <c r="BJ1" s="50"/>
      <c r="BK1" s="50"/>
      <c r="BL1" s="50">
        <v>24</v>
      </c>
      <c r="BM1" s="50">
        <v>25</v>
      </c>
      <c r="BN1" s="50"/>
      <c r="BO1" s="50"/>
      <c r="BP1" s="50">
        <v>26</v>
      </c>
      <c r="BQ1" s="50">
        <v>27</v>
      </c>
      <c r="BR1" s="50"/>
      <c r="BS1" s="50">
        <v>28</v>
      </c>
      <c r="BT1" s="50"/>
      <c r="BU1" s="50"/>
      <c r="BV1" s="50">
        <v>29</v>
      </c>
      <c r="BW1" s="50"/>
      <c r="BX1" s="50">
        <v>30</v>
      </c>
      <c r="BY1" s="50">
        <v>31</v>
      </c>
      <c r="BZ1" s="50"/>
      <c r="CA1" s="50">
        <v>32</v>
      </c>
      <c r="CB1" s="50">
        <v>33</v>
      </c>
    </row>
    <row r="2" spans="1:80" s="57" customFormat="1" ht="31.5" x14ac:dyDescent="0.25">
      <c r="A2" s="51" t="s">
        <v>490</v>
      </c>
      <c r="B2" s="52" t="s">
        <v>491</v>
      </c>
      <c r="C2" s="52" t="s">
        <v>492</v>
      </c>
      <c r="D2" s="51" t="s">
        <v>6</v>
      </c>
      <c r="E2" s="52" t="s">
        <v>7</v>
      </c>
      <c r="F2" s="52" t="s">
        <v>493</v>
      </c>
      <c r="G2" s="53" t="s">
        <v>494</v>
      </c>
      <c r="H2" s="51" t="s">
        <v>495</v>
      </c>
      <c r="I2" s="51" t="s">
        <v>529</v>
      </c>
      <c r="J2" s="51" t="s">
        <v>2</v>
      </c>
      <c r="K2" s="100" t="s">
        <v>498</v>
      </c>
      <c r="L2" s="51" t="s">
        <v>496</v>
      </c>
      <c r="M2" s="52" t="s">
        <v>497</v>
      </c>
      <c r="N2" s="92" t="s">
        <v>530</v>
      </c>
      <c r="O2" s="92" t="s">
        <v>499</v>
      </c>
      <c r="P2" s="101" t="s">
        <v>608</v>
      </c>
      <c r="Q2" s="51" t="s">
        <v>500</v>
      </c>
      <c r="R2" s="54" t="s">
        <v>501</v>
      </c>
      <c r="S2" s="54" t="s">
        <v>502</v>
      </c>
      <c r="T2" s="54" t="s">
        <v>503</v>
      </c>
      <c r="U2" s="55" t="s">
        <v>504</v>
      </c>
      <c r="V2" s="56" t="s">
        <v>242</v>
      </c>
      <c r="W2" s="132" t="s">
        <v>548</v>
      </c>
      <c r="X2" s="132" t="s">
        <v>632</v>
      </c>
      <c r="Y2" s="132" t="s">
        <v>644</v>
      </c>
      <c r="Z2" s="133" t="s">
        <v>549</v>
      </c>
      <c r="AA2" s="134" t="s">
        <v>60</v>
      </c>
      <c r="AB2" s="135" t="s">
        <v>552</v>
      </c>
      <c r="AC2" s="135" t="s">
        <v>636</v>
      </c>
      <c r="AD2" s="135" t="s">
        <v>638</v>
      </c>
      <c r="AE2" s="118" t="s">
        <v>550</v>
      </c>
      <c r="AF2" s="119" t="s">
        <v>551</v>
      </c>
      <c r="AG2" s="119" t="s">
        <v>627</v>
      </c>
      <c r="AH2" s="120" t="s">
        <v>589</v>
      </c>
      <c r="AI2" s="136" t="s">
        <v>125</v>
      </c>
      <c r="AJ2" s="121" t="s">
        <v>134</v>
      </c>
      <c r="AK2" s="137" t="s">
        <v>558</v>
      </c>
      <c r="AL2" s="122" t="s">
        <v>555</v>
      </c>
      <c r="AM2" s="122" t="s">
        <v>640</v>
      </c>
      <c r="AN2" s="122" t="s">
        <v>660</v>
      </c>
      <c r="AO2" s="123" t="s">
        <v>590</v>
      </c>
      <c r="AP2" s="123" t="s">
        <v>622</v>
      </c>
      <c r="AQ2" s="123" t="s">
        <v>626</v>
      </c>
      <c r="AR2" s="141" t="s">
        <v>556</v>
      </c>
      <c r="AS2" s="138" t="s">
        <v>180</v>
      </c>
      <c r="AT2" s="139" t="s">
        <v>554</v>
      </c>
      <c r="AU2" s="139" t="s">
        <v>621</v>
      </c>
      <c r="AV2" s="139" t="s">
        <v>617</v>
      </c>
      <c r="AW2" s="139" t="s">
        <v>651</v>
      </c>
      <c r="AX2" s="140" t="s">
        <v>591</v>
      </c>
      <c r="AY2" s="140" t="s">
        <v>652</v>
      </c>
      <c r="AZ2" s="124" t="s">
        <v>553</v>
      </c>
      <c r="BA2" s="151" t="s">
        <v>545</v>
      </c>
      <c r="BB2" s="151" t="s">
        <v>634</v>
      </c>
      <c r="BC2" s="125" t="s">
        <v>592</v>
      </c>
      <c r="BD2" s="126" t="s">
        <v>593</v>
      </c>
      <c r="BE2" s="127" t="s">
        <v>594</v>
      </c>
      <c r="BF2" s="127" t="s">
        <v>612</v>
      </c>
      <c r="BG2" s="127" t="s">
        <v>616</v>
      </c>
      <c r="BH2" s="128" t="s">
        <v>595</v>
      </c>
      <c r="BI2" s="129" t="s">
        <v>596</v>
      </c>
      <c r="BJ2" s="129" t="s">
        <v>613</v>
      </c>
      <c r="BK2" s="129" t="s">
        <v>628</v>
      </c>
      <c r="BL2" s="130" t="s">
        <v>597</v>
      </c>
      <c r="BM2" s="131" t="s">
        <v>598</v>
      </c>
      <c r="BN2" s="131" t="s">
        <v>649</v>
      </c>
      <c r="BO2" s="131" t="s">
        <v>648</v>
      </c>
      <c r="BP2" s="142" t="s">
        <v>599</v>
      </c>
      <c r="BQ2" s="143" t="s">
        <v>600</v>
      </c>
      <c r="BR2" s="143" t="s">
        <v>661</v>
      </c>
      <c r="BS2" s="144" t="s">
        <v>601</v>
      </c>
      <c r="BT2" s="144" t="s">
        <v>650</v>
      </c>
      <c r="BU2" s="144" t="s">
        <v>643</v>
      </c>
      <c r="BV2" s="145" t="s">
        <v>602</v>
      </c>
      <c r="BW2" s="145" t="s">
        <v>642</v>
      </c>
      <c r="BX2" s="146" t="s">
        <v>603</v>
      </c>
      <c r="BY2" s="147" t="s">
        <v>604</v>
      </c>
      <c r="BZ2" s="147" t="s">
        <v>620</v>
      </c>
      <c r="CA2" s="148" t="s">
        <v>605</v>
      </c>
      <c r="CB2" s="149" t="s">
        <v>606</v>
      </c>
    </row>
    <row r="3" spans="1:80" x14ac:dyDescent="0.25">
      <c r="A3" s="58" t="str">
        <f>IF(F3="","",_xlfn.CONCAT(_xlfn.IFNA(VLOOKUP(I3,Ruyxat!$F$2:$G$6,2,0),""),_xlfn.IFNA(VLOOKUP(F3,Ruyxat!$T$2:$U$16,2,0),""),TEXT($B$1+1,"00000")))</f>
        <v>A26TOP00405</v>
      </c>
      <c r="B3" s="59"/>
      <c r="C3" s="60" t="str">
        <f>Ruyxat!B23</f>
        <v>Блузка</v>
      </c>
      <c r="D3" t="s">
        <v>476</v>
      </c>
      <c r="E3" s="61" t="s">
        <v>472</v>
      </c>
      <c r="F3" s="62" t="s">
        <v>108</v>
      </c>
      <c r="G3" s="104" t="s">
        <v>610</v>
      </c>
      <c r="H3" s="58" t="s">
        <v>609</v>
      </c>
      <c r="I3" t="s">
        <v>50</v>
      </c>
      <c r="J3" t="s">
        <v>34</v>
      </c>
      <c r="K3" s="59" t="s">
        <v>532</v>
      </c>
      <c r="L3" s="58" t="s">
        <v>611</v>
      </c>
      <c r="M3" s="61" t="str">
        <f t="shared" ref="M3:M31" si="0">IF(D3="","",TRIM(D3&amp;" "&amp;L3&amp;" "&amp;H3&amp;" "&amp;G3))</f>
        <v>Свитер варот замок мадел LIWALI 1M21241-1587</v>
      </c>
      <c r="N3" s="93">
        <v>5</v>
      </c>
      <c r="O3" s="93">
        <v>120</v>
      </c>
      <c r="P3" s="93">
        <v>150000</v>
      </c>
      <c r="Q3" s="88">
        <v>0.2</v>
      </c>
      <c r="R3" s="64">
        <v>175000</v>
      </c>
      <c r="S3" s="64">
        <f t="shared" ref="S3:S31" si="1">IF($O3="","",$O3*$P3)</f>
        <v>18000000</v>
      </c>
      <c r="T3" s="64">
        <f t="shared" ref="T3:T31" si="2">IF($O3="","",$O3*$R3)</f>
        <v>21000000</v>
      </c>
      <c r="U3" s="65" t="str">
        <f>IF($O3="","",IF($O3=SUM($V3:$CB3),"OK","ERROR"))</f>
        <v>OK</v>
      </c>
      <c r="V3" s="66"/>
      <c r="W3" s="66"/>
      <c r="X3" s="66"/>
      <c r="Y3" s="66"/>
      <c r="Z3" s="66"/>
      <c r="AA3" s="66"/>
      <c r="AB3" s="66"/>
      <c r="AC3" s="154"/>
      <c r="AD3" s="154"/>
      <c r="AE3" s="67"/>
      <c r="AF3" s="67"/>
      <c r="AG3" s="67"/>
      <c r="AH3" s="67">
        <v>30</v>
      </c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>
        <v>55</v>
      </c>
      <c r="BD3" s="67"/>
      <c r="BE3" s="67"/>
      <c r="BF3" s="67"/>
      <c r="BG3" s="67"/>
      <c r="BH3" s="67"/>
      <c r="BI3" s="67">
        <v>6</v>
      </c>
      <c r="BJ3" s="67"/>
      <c r="BK3" s="67"/>
      <c r="BL3" s="68"/>
      <c r="BM3" s="67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>
        <v>29</v>
      </c>
    </row>
    <row r="4" spans="1:80" x14ac:dyDescent="0.25">
      <c r="A4" s="69" t="str">
        <f>IF(F4="","",_xlfn.CONCAT(_xlfn.IFNA(VLOOKUP(I4,Ruyxat!$F$2:$G$6,2,0),""),_xlfn.IFNA(VLOOKUP(F4,Ruyxat!$T$2:$U$16,2,0),""),TEXT(MID(A3,7,5)+1,"00000")))</f>
        <v>A26TOP00406</v>
      </c>
      <c r="B4" s="60">
        <v>2</v>
      </c>
      <c r="C4" s="60" t="str">
        <f>Ruyxat!B24</f>
        <v>Кофта</v>
      </c>
      <c r="D4" t="s">
        <v>476</v>
      </c>
      <c r="E4" s="61" t="str">
        <f>_xlfn.IFNA(VLOOKUP(D4,[1]Ruyxat!$J$2:$L$601,2,0),"")</f>
        <v>Свитеры и кардиганы</v>
      </c>
      <c r="F4" s="62" t="str">
        <f>_xlfn.IFNA(VLOOKUP(D4,[1]Ruyxat!$J$2:$L$601,3,0),"")</f>
        <v>Одежда Топ</v>
      </c>
      <c r="G4" s="104" t="s">
        <v>658</v>
      </c>
      <c r="H4" s="58" t="s">
        <v>609</v>
      </c>
      <c r="I4" t="s">
        <v>50</v>
      </c>
      <c r="J4" t="s">
        <v>34</v>
      </c>
      <c r="K4" s="59" t="s">
        <v>532</v>
      </c>
      <c r="L4" s="58" t="s">
        <v>659</v>
      </c>
      <c r="M4" s="61" t="str">
        <f t="shared" si="0"/>
        <v>Свитер варот замок мелани LIWALI 1M21241-1485</v>
      </c>
      <c r="N4" s="93">
        <v>5</v>
      </c>
      <c r="O4" s="93">
        <v>290</v>
      </c>
      <c r="P4" s="93">
        <v>150000</v>
      </c>
      <c r="Q4" s="88">
        <v>0.2</v>
      </c>
      <c r="R4" s="64">
        <v>175000</v>
      </c>
      <c r="S4" s="64">
        <f t="shared" si="1"/>
        <v>43500000</v>
      </c>
      <c r="T4" s="64">
        <f t="shared" si="2"/>
        <v>50750000</v>
      </c>
      <c r="U4" s="72" t="str">
        <f>IF($O4="","",IF($O4=SUM($V4:$CB4),"OK","ERROR"))</f>
        <v>OK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>
        <v>26</v>
      </c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>
        <v>127</v>
      </c>
      <c r="BC4" s="66"/>
      <c r="BD4" s="66"/>
      <c r="BE4" s="66"/>
      <c r="BF4" s="66"/>
      <c r="BG4" s="66">
        <v>27</v>
      </c>
      <c r="BH4" s="66"/>
      <c r="BI4" s="66"/>
      <c r="BJ4" s="66">
        <v>52</v>
      </c>
      <c r="BK4" s="66"/>
      <c r="BL4" s="73"/>
      <c r="BM4" s="66"/>
      <c r="BN4" s="66"/>
      <c r="BO4" s="66"/>
      <c r="BP4" s="150"/>
      <c r="BQ4" s="150"/>
      <c r="BR4" s="150">
        <v>30</v>
      </c>
      <c r="BS4" s="150"/>
      <c r="BT4" s="150"/>
      <c r="BU4" s="150">
        <v>28</v>
      </c>
      <c r="BV4" s="150"/>
      <c r="BW4" s="150"/>
      <c r="BX4" s="150"/>
      <c r="BY4" s="150"/>
      <c r="BZ4" s="150"/>
      <c r="CA4" s="150"/>
      <c r="CB4" s="150"/>
    </row>
    <row r="5" spans="1:80" x14ac:dyDescent="0.25">
      <c r="A5" s="69" t="str">
        <f>IF(F5="","",_xlfn.CONCAT(_xlfn.IFNA(VLOOKUP(I5,Ruyxat!$F$2:$G$6,2,0),""),_xlfn.IFNA(VLOOKUP(F5,Ruyxat!$T$2:$U$16,2,0),""),TEXT(MID(A4,7,5)+1,"00000")))</f>
        <v/>
      </c>
      <c r="B5" s="60">
        <v>3</v>
      </c>
      <c r="C5" s="60" t="str">
        <f>Ruyxat!B59</f>
        <v>Туника</v>
      </c>
      <c r="E5" s="61" t="str">
        <f>_xlfn.IFNA(VLOOKUP(D5,[1]Ruyxat!$J$2:$L$601,2,0),"")</f>
        <v/>
      </c>
      <c r="F5" s="62" t="str">
        <f>_xlfn.IFNA(VLOOKUP(D5,[1]Ruyxat!$J$2:$L$601,3,0),"")</f>
        <v/>
      </c>
      <c r="G5" s="105"/>
      <c r="H5" s="58"/>
      <c r="K5" s="59"/>
      <c r="L5" s="58"/>
      <c r="M5" s="61" t="str">
        <f t="shared" si="0"/>
        <v/>
      </c>
      <c r="N5" s="93"/>
      <c r="O5" s="93"/>
      <c r="P5" s="93"/>
      <c r="Q5" s="88"/>
      <c r="R5" s="64"/>
      <c r="S5" s="64" t="str">
        <f t="shared" si="1"/>
        <v/>
      </c>
      <c r="T5" s="64" t="str">
        <f t="shared" si="2"/>
        <v/>
      </c>
      <c r="U5" s="65" t="str">
        <f>IF($O5="","",IF($O5=SUM($V5:$CB5),"OK","ERROR"))</f>
        <v/>
      </c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73"/>
      <c r="BM5" s="66"/>
      <c r="BN5" s="66"/>
      <c r="BO5" s="66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</row>
    <row r="6" spans="1:80" x14ac:dyDescent="0.25">
      <c r="A6" s="69" t="str">
        <f>IF(F6="","",_xlfn.CONCAT(_xlfn.IFNA(VLOOKUP(I6,Ruyxat!$F$2:$G$6,2,0),""),_xlfn.IFNA(VLOOKUP(F6,Ruyxat!$T$2:$U$16,2,0),""),TEXT(MID(A5,7,5)+1,"00000")))</f>
        <v/>
      </c>
      <c r="B6" s="60">
        <v>4</v>
      </c>
      <c r="C6" s="60" t="str">
        <f>Ruyxat!B60</f>
        <v>Платье</v>
      </c>
      <c r="E6" s="61" t="str">
        <f>_xlfn.IFNA(VLOOKUP(D6,[1]Ruyxat!$J$2:$L$601,2,0),"")</f>
        <v/>
      </c>
      <c r="F6" s="62" t="str">
        <f>_xlfn.IFNA(VLOOKUP(D6,[1]Ruyxat!$J$2:$L$601,3,0),"")</f>
        <v/>
      </c>
      <c r="G6" s="104"/>
      <c r="H6" s="58"/>
      <c r="K6" s="59"/>
      <c r="L6" s="58"/>
      <c r="M6" s="61" t="str">
        <f t="shared" si="0"/>
        <v/>
      </c>
      <c r="N6" s="93"/>
      <c r="O6" s="94"/>
      <c r="P6" s="93">
        <v>0</v>
      </c>
      <c r="Q6" s="88"/>
      <c r="R6" s="64" t="str">
        <f t="shared" ref="R6:R31" si="3">IF($O6="","",ROUND($P6*(1+$Q6),-3))</f>
        <v/>
      </c>
      <c r="S6" s="64" t="str">
        <f t="shared" si="1"/>
        <v/>
      </c>
      <c r="T6" s="64" t="str">
        <f t="shared" si="2"/>
        <v/>
      </c>
      <c r="U6" s="72" t="str">
        <f>IF($O6="","",IF($O6=SUM($V6:$CB6),"OK","ERROR"))</f>
        <v/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73"/>
      <c r="BM6" s="66"/>
      <c r="BN6" s="66"/>
      <c r="BO6" s="66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</row>
    <row r="7" spans="1:80" x14ac:dyDescent="0.25">
      <c r="A7" s="69" t="str">
        <f>IF(F7="","",_xlfn.CONCAT(_xlfn.IFNA(VLOOKUP(I7,Ruyxat!$F$2:$G$6,2,0),""),_xlfn.IFNA(VLOOKUP(F7,Ruyxat!$T$2:$U$16,2,0),""),TEXT(MID(A6,7,5)+1,"00000")))</f>
        <v/>
      </c>
      <c r="B7" s="60">
        <v>5</v>
      </c>
      <c r="C7" s="60" t="str">
        <f>Ruyxat!B61</f>
        <v>Сарафан</v>
      </c>
      <c r="E7" s="61" t="str">
        <f>_xlfn.IFNA(VLOOKUP(D7,[1]Ruyxat!$J$2:$L$601,2,0),"")</f>
        <v/>
      </c>
      <c r="F7" s="62" t="str">
        <f>_xlfn.IFNA(VLOOKUP(D7,[1]Ruyxat!$J$2:$L$601,3,0),"")</f>
        <v/>
      </c>
      <c r="G7" s="104"/>
      <c r="H7" s="58"/>
      <c r="K7" s="59"/>
      <c r="L7" s="58"/>
      <c r="M7" s="61" t="str">
        <f t="shared" si="0"/>
        <v/>
      </c>
      <c r="N7" s="93"/>
      <c r="O7" s="93"/>
      <c r="P7" s="93">
        <v>0</v>
      </c>
      <c r="Q7" s="88"/>
      <c r="R7" s="64" t="str">
        <f t="shared" si="3"/>
        <v/>
      </c>
      <c r="S7" s="64" t="str">
        <f t="shared" si="1"/>
        <v/>
      </c>
      <c r="T7" s="64" t="str">
        <f t="shared" si="2"/>
        <v/>
      </c>
      <c r="U7" s="65" t="str">
        <f>IF($O7="","",IF($O7=SUM($V7:$CB7),"OK","ERROR"))</f>
        <v/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73"/>
      <c r="BM7" s="66"/>
      <c r="BN7" s="66"/>
      <c r="BO7" s="66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</row>
    <row r="8" spans="1:80" x14ac:dyDescent="0.25">
      <c r="A8" s="69" t="str">
        <f>IF(F8="","",_xlfn.CONCAT(_xlfn.IFNA(VLOOKUP(I8,Ruyxat!$F$2:$G$6,2,0),""),_xlfn.IFNA(VLOOKUP(F8,Ruyxat!$T$2:$U$16,2,0),""),TEXT(MID(A7,7,5)+1,"00000")))</f>
        <v/>
      </c>
      <c r="B8" s="60">
        <v>6</v>
      </c>
      <c r="C8" s="60" t="str">
        <f>Ruyxat!B62</f>
        <v>Рубашка</v>
      </c>
      <c r="E8" s="61" t="str">
        <f>_xlfn.IFNA(VLOOKUP(D8,[1]Ruyxat!$J$2:$L$601,2,0),"")</f>
        <v/>
      </c>
      <c r="F8" s="62" t="str">
        <f>_xlfn.IFNA(VLOOKUP(D8,[1]Ruyxat!$J$2:$L$601,3,0),"")</f>
        <v/>
      </c>
      <c r="G8" s="105"/>
      <c r="H8" s="58"/>
      <c r="K8" s="59"/>
      <c r="L8" s="69"/>
      <c r="M8" s="61" t="str">
        <f t="shared" si="0"/>
        <v/>
      </c>
      <c r="N8" s="94"/>
      <c r="O8" s="94"/>
      <c r="P8" s="93">
        <v>0</v>
      </c>
      <c r="Q8" s="88"/>
      <c r="R8" s="64" t="str">
        <f t="shared" si="3"/>
        <v/>
      </c>
      <c r="S8" s="64" t="str">
        <f t="shared" si="1"/>
        <v/>
      </c>
      <c r="T8" s="64" t="str">
        <f t="shared" si="2"/>
        <v/>
      </c>
      <c r="U8" s="72" t="str">
        <f>IF($O8="","",IF($O8=SUM($V8:$CB8),"OK","ERROR"))</f>
        <v/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73"/>
      <c r="BM8" s="66"/>
      <c r="BN8" s="66"/>
      <c r="BO8" s="66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</row>
    <row r="9" spans="1:80" x14ac:dyDescent="0.25">
      <c r="A9" s="69" t="str">
        <f>IF(F9="","",_xlfn.CONCAT(_xlfn.IFNA(VLOOKUP(I9,Ruyxat!$F$2:$G$6,2,0),""),_xlfn.IFNA(VLOOKUP(F9,Ruyxat!$T$2:$U$16,2,0),""),TEXT(MID(A8,7,5)+1,"00000")))</f>
        <v/>
      </c>
      <c r="B9" s="60">
        <v>7</v>
      </c>
      <c r="C9" s="60" t="str">
        <f>Ruyxat!B63</f>
        <v>Рубашка с длинными рукавами</v>
      </c>
      <c r="E9" s="61" t="str">
        <f>_xlfn.IFNA(VLOOKUP(D9,[1]Ruyxat!$J$2:$L$601,2,0),"")</f>
        <v/>
      </c>
      <c r="F9" s="62" t="str">
        <f>_xlfn.IFNA(VLOOKUP(D9,[1]Ruyxat!$J$2:$L$601,3,0),"")</f>
        <v/>
      </c>
      <c r="G9" s="105"/>
      <c r="H9" s="58"/>
      <c r="K9" s="59"/>
      <c r="L9" s="69"/>
      <c r="M9" s="61" t="str">
        <f t="shared" si="0"/>
        <v/>
      </c>
      <c r="N9" s="94"/>
      <c r="O9" s="93"/>
      <c r="P9" s="93">
        <v>0</v>
      </c>
      <c r="Q9" s="88"/>
      <c r="R9" s="64" t="str">
        <f t="shared" si="3"/>
        <v/>
      </c>
      <c r="S9" s="64" t="str">
        <f t="shared" si="1"/>
        <v/>
      </c>
      <c r="T9" s="64" t="str">
        <f t="shared" si="2"/>
        <v/>
      </c>
      <c r="U9" s="65" t="str">
        <f>IF($O9="","",IF($O9=SUM($V9:$CB9),"OK","ERROR"))</f>
        <v/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73"/>
      <c r="BM9" s="66"/>
      <c r="BN9" s="66"/>
      <c r="BO9" s="66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</row>
    <row r="10" spans="1:80" x14ac:dyDescent="0.25">
      <c r="A10" s="69" t="str">
        <f>IF(F10="","",_xlfn.CONCAT(_xlfn.IFNA(VLOOKUP(I10,Ruyxat!$F$2:$G$6,2,0),""),_xlfn.IFNA(VLOOKUP(F10,Ruyxat!$T$2:$U$16,2,0),""),TEXT(MID(A9,7,5)+1,"00000")))</f>
        <v/>
      </c>
      <c r="B10" s="60">
        <v>8</v>
      </c>
      <c r="C10" s="60" t="str">
        <f>Ruyxat!B64</f>
        <v>Водолазка</v>
      </c>
      <c r="E10" s="61" t="str">
        <f>_xlfn.IFNA(VLOOKUP(D10,[1]Ruyxat!$J$2:$L$601,2,0),"")</f>
        <v/>
      </c>
      <c r="F10" s="62" t="str">
        <f>_xlfn.IFNA(VLOOKUP(D10,[1]Ruyxat!$J$2:$L$601,3,0),"")</f>
        <v/>
      </c>
      <c r="G10" s="105"/>
      <c r="H10" s="58"/>
      <c r="K10" s="59"/>
      <c r="L10" s="69"/>
      <c r="M10" s="61" t="str">
        <f t="shared" si="0"/>
        <v/>
      </c>
      <c r="N10" s="94"/>
      <c r="O10" s="94"/>
      <c r="P10" s="93">
        <v>0</v>
      </c>
      <c r="Q10" s="88"/>
      <c r="R10" s="64" t="str">
        <f t="shared" si="3"/>
        <v/>
      </c>
      <c r="S10" s="64" t="str">
        <f t="shared" si="1"/>
        <v/>
      </c>
      <c r="T10" s="64" t="str">
        <f t="shared" si="2"/>
        <v/>
      </c>
      <c r="U10" s="72" t="str">
        <f>IF($O10="","",IF($O10=SUM($V10:$CB10),"OK","ERROR"))</f>
        <v/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73"/>
      <c r="BM10" s="66"/>
      <c r="BN10" s="66"/>
      <c r="BO10" s="66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</row>
    <row r="11" spans="1:80" x14ac:dyDescent="0.25">
      <c r="A11" s="69" t="str">
        <f>IF(F11="","",_xlfn.CONCAT(_xlfn.IFNA(VLOOKUP(I11,Ruyxat!$F$2:$G$6,2,0),""),_xlfn.IFNA(VLOOKUP(F11,Ruyxat!$T$2:$U$16,2,0),""),TEXT(MID(A10,7,5)+1,"00000")))</f>
        <v/>
      </c>
      <c r="B11" s="60">
        <v>9</v>
      </c>
      <c r="C11" s="60" t="str">
        <f>Ruyxat!B65</f>
        <v>Джемпер</v>
      </c>
      <c r="E11" s="61" t="str">
        <f>_xlfn.IFNA(VLOOKUP(D11,[1]Ruyxat!$J$2:$L$601,2,0),"")</f>
        <v/>
      </c>
      <c r="F11" s="62" t="str">
        <f>_xlfn.IFNA(VLOOKUP(D11,[1]Ruyxat!$J$2:$L$601,3,0),"")</f>
        <v/>
      </c>
      <c r="G11" s="105"/>
      <c r="H11" s="58"/>
      <c r="K11" s="59"/>
      <c r="L11" s="69"/>
      <c r="M11" s="61" t="str">
        <f t="shared" si="0"/>
        <v/>
      </c>
      <c r="N11" s="94"/>
      <c r="O11" s="93"/>
      <c r="P11" s="93">
        <v>0</v>
      </c>
      <c r="Q11" s="88"/>
      <c r="R11" s="64" t="str">
        <f t="shared" si="3"/>
        <v/>
      </c>
      <c r="S11" s="64" t="str">
        <f t="shared" si="1"/>
        <v/>
      </c>
      <c r="T11" s="64" t="str">
        <f t="shared" si="2"/>
        <v/>
      </c>
      <c r="U11" s="72" t="str">
        <f>IF($O11="","",IF($O11=SUM($V11:$CB11),"OK","ERROR"))</f>
        <v/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73"/>
      <c r="BM11" s="66"/>
      <c r="BN11" s="66"/>
      <c r="BO11" s="66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</row>
    <row r="12" spans="1:80" x14ac:dyDescent="0.25">
      <c r="A12" s="69" t="str">
        <f>IF(F12="","",_xlfn.CONCAT(_xlfn.IFNA(VLOOKUP(I12,Ruyxat!$F$2:$G$6,2,0),""),_xlfn.IFNA(VLOOKUP(F12,Ruyxat!$T$2:$U$16,2,0),""),TEXT(MID(A11,7,5)+1,"00000")))</f>
        <v/>
      </c>
      <c r="B12" s="60">
        <v>10</v>
      </c>
      <c r="C12" s="60" t="str">
        <f>Ruyxat!B66</f>
        <v>Кардиган</v>
      </c>
      <c r="E12" s="61" t="str">
        <f>_xlfn.IFNA(VLOOKUP(D12,[1]Ruyxat!$J$2:$L$601,2,0),"")</f>
        <v/>
      </c>
      <c r="F12" s="62" t="str">
        <f>_xlfn.IFNA(VLOOKUP(D12,[1]Ruyxat!$J$2:$L$601,3,0),"")</f>
        <v/>
      </c>
      <c r="G12" s="105"/>
      <c r="H12" s="58"/>
      <c r="K12" s="59"/>
      <c r="L12" s="69"/>
      <c r="M12" s="61" t="str">
        <f t="shared" si="0"/>
        <v/>
      </c>
      <c r="N12" s="94"/>
      <c r="O12" s="94"/>
      <c r="P12" s="93">
        <v>0</v>
      </c>
      <c r="Q12" s="88"/>
      <c r="R12" s="64" t="str">
        <f t="shared" si="3"/>
        <v/>
      </c>
      <c r="S12" s="64" t="str">
        <f t="shared" si="1"/>
        <v/>
      </c>
      <c r="T12" s="64" t="str">
        <f t="shared" si="2"/>
        <v/>
      </c>
      <c r="U12" s="72" t="str">
        <f>IF($O12="","",IF($O12=SUM($V12:$CB12),"OK","ERROR"))</f>
        <v/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73"/>
      <c r="BM12" s="66"/>
      <c r="BN12" s="66"/>
      <c r="BO12" s="66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</row>
    <row r="13" spans="1:80" x14ac:dyDescent="0.25">
      <c r="A13" s="69" t="str">
        <f>IF(F13="","",_xlfn.CONCAT(_xlfn.IFNA(VLOOKUP(I13,Ruyxat!$F$2:$G$6,2,0),""),_xlfn.IFNA(VLOOKUP(F13,Ruyxat!$T$2:$U$16,2,0),""),TEXT(MID(A12,7,5)+1,"00000")))</f>
        <v/>
      </c>
      <c r="B13" s="60">
        <v>11</v>
      </c>
      <c r="C13" s="60" t="str">
        <f>Ruyxat!B67</f>
        <v>Пуловер</v>
      </c>
      <c r="E13" s="61" t="str">
        <f>_xlfn.IFNA(VLOOKUP(D13,[1]Ruyxat!$J$2:$L$601,2,0),"")</f>
        <v/>
      </c>
      <c r="F13" s="62" t="str">
        <f>_xlfn.IFNA(VLOOKUP(D13,[1]Ruyxat!$J$2:$L$601,3,0),"")</f>
        <v/>
      </c>
      <c r="G13" s="105"/>
      <c r="H13" s="58"/>
      <c r="K13" s="59"/>
      <c r="L13" s="69"/>
      <c r="M13" s="61" t="str">
        <f t="shared" si="0"/>
        <v/>
      </c>
      <c r="N13" s="94"/>
      <c r="O13" s="93"/>
      <c r="P13" s="93">
        <v>0</v>
      </c>
      <c r="Q13" s="88"/>
      <c r="R13" s="64" t="str">
        <f t="shared" si="3"/>
        <v/>
      </c>
      <c r="S13" s="64" t="str">
        <f t="shared" si="1"/>
        <v/>
      </c>
      <c r="T13" s="64" t="str">
        <f t="shared" si="2"/>
        <v/>
      </c>
      <c r="U13" s="65" t="str">
        <f>IF($O13="","",IF($O13=SUM($V13:$CB13),"OK","ERROR"))</f>
        <v/>
      </c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73"/>
      <c r="BM13" s="66"/>
      <c r="BN13" s="66"/>
      <c r="BO13" s="66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</row>
    <row r="14" spans="1:80" x14ac:dyDescent="0.25">
      <c r="A14" s="69" t="str">
        <f>IF(F14="","",_xlfn.CONCAT(_xlfn.IFNA(VLOOKUP(I14,Ruyxat!$F$2:$G$6,2,0),""),_xlfn.IFNA(VLOOKUP(F14,Ruyxat!$T$2:$U$16,2,0),""),TEXT(MID(A13,7,5)+1,"00000")))</f>
        <v/>
      </c>
      <c r="B14" s="60">
        <v>12</v>
      </c>
      <c r="C14" s="60" t="str">
        <f>Ruyxat!B68</f>
        <v>Свитер</v>
      </c>
      <c r="E14" s="61" t="str">
        <f>_xlfn.IFNA(VLOOKUP(D14,[1]Ruyxat!$J$2:$L$601,2,0),"")</f>
        <v/>
      </c>
      <c r="F14" s="62" t="str">
        <f>_xlfn.IFNA(VLOOKUP(D14,[1]Ruyxat!$J$2:$L$601,3,0),"")</f>
        <v/>
      </c>
      <c r="G14" s="105"/>
      <c r="H14" s="58"/>
      <c r="K14" s="59"/>
      <c r="L14" s="69"/>
      <c r="M14" s="61" t="str">
        <f t="shared" si="0"/>
        <v/>
      </c>
      <c r="N14" s="94"/>
      <c r="O14" s="94"/>
      <c r="P14" s="93">
        <v>0</v>
      </c>
      <c r="Q14" s="88"/>
      <c r="R14" s="64" t="str">
        <f t="shared" si="3"/>
        <v/>
      </c>
      <c r="S14" s="64" t="str">
        <f t="shared" si="1"/>
        <v/>
      </c>
      <c r="T14" s="64" t="str">
        <f t="shared" si="2"/>
        <v/>
      </c>
      <c r="U14" s="72" t="str">
        <f>IF($O14="","",IF($O14=SUM($V14:$CB14),"OK","ERROR"))</f>
        <v/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73"/>
      <c r="BM14" s="66"/>
      <c r="BN14" s="66"/>
      <c r="BO14" s="66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</row>
    <row r="15" spans="1:80" x14ac:dyDescent="0.25">
      <c r="A15" s="69" t="str">
        <f>IF(F15="","",_xlfn.CONCAT(_xlfn.IFNA(VLOOKUP(I15,Ruyxat!$F$2:$G$6,2,0),""),_xlfn.IFNA(VLOOKUP(F15,Ruyxat!$T$2:$U$16,2,0),""),TEXT(MID(A14,7,5)+1,"00000")))</f>
        <v/>
      </c>
      <c r="B15" s="60">
        <v>13</v>
      </c>
      <c r="C15" s="60" t="str">
        <f>Ruyxat!B69</f>
        <v>Свитер жилетка</v>
      </c>
      <c r="E15" s="61" t="str">
        <f>_xlfn.IFNA(VLOOKUP(D15,[1]Ruyxat!$J$2:$L$601,2,0),"")</f>
        <v/>
      </c>
      <c r="F15" s="62" t="str">
        <f>_xlfn.IFNA(VLOOKUP(D15,[1]Ruyxat!$J$2:$L$601,3,0),"")</f>
        <v/>
      </c>
      <c r="G15" s="105"/>
      <c r="H15" s="58"/>
      <c r="K15" s="59"/>
      <c r="L15" s="69"/>
      <c r="M15" s="61" t="str">
        <f t="shared" si="0"/>
        <v/>
      </c>
      <c r="N15" s="94"/>
      <c r="O15" s="93"/>
      <c r="P15" s="93">
        <v>0</v>
      </c>
      <c r="Q15" s="88"/>
      <c r="R15" s="64" t="str">
        <f t="shared" si="3"/>
        <v/>
      </c>
      <c r="S15" s="64" t="str">
        <f t="shared" si="1"/>
        <v/>
      </c>
      <c r="T15" s="64" t="str">
        <f t="shared" si="2"/>
        <v/>
      </c>
      <c r="U15" s="65" t="str">
        <f>IF($O15="","",IF($O15=SUM($V15:$CB15),"OK","ERROR"))</f>
        <v/>
      </c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73"/>
      <c r="BM15" s="66"/>
      <c r="BN15" s="66"/>
      <c r="BO15" s="66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</row>
    <row r="16" spans="1:80" x14ac:dyDescent="0.25">
      <c r="A16" s="69" t="str">
        <f>IF(F16="","",_xlfn.CONCAT(_xlfn.IFNA(VLOOKUP(I16,Ruyxat!$F$2:$G$6,2,0),""),_xlfn.IFNA(VLOOKUP(F16,Ruyxat!$T$2:$U$16,2,0),""),TEXT(MID(A15,7,5)+1,"00000")))</f>
        <v/>
      </c>
      <c r="B16" s="60">
        <v>14</v>
      </c>
      <c r="C16" s="60" t="str">
        <f>Ruyxat!B70</f>
        <v>Свитер поло</v>
      </c>
      <c r="E16" s="61" t="str">
        <f>_xlfn.IFNA(VLOOKUP(D16,[1]Ruyxat!$J$2:$L$601,2,0),"")</f>
        <v/>
      </c>
      <c r="F16" s="62" t="str">
        <f>_xlfn.IFNA(VLOOKUP(D16,[1]Ruyxat!$J$2:$L$601,3,0),"")</f>
        <v/>
      </c>
      <c r="G16" s="105"/>
      <c r="H16" s="58"/>
      <c r="K16" s="59"/>
      <c r="L16" s="69"/>
      <c r="M16" s="61" t="str">
        <f t="shared" si="0"/>
        <v/>
      </c>
      <c r="N16" s="94"/>
      <c r="O16" s="94"/>
      <c r="P16" s="93">
        <v>0</v>
      </c>
      <c r="Q16" s="88"/>
      <c r="R16" s="64" t="str">
        <f t="shared" si="3"/>
        <v/>
      </c>
      <c r="S16" s="64" t="str">
        <f t="shared" si="1"/>
        <v/>
      </c>
      <c r="T16" s="64" t="str">
        <f t="shared" si="2"/>
        <v/>
      </c>
      <c r="U16" s="72" t="str">
        <f>IF($O16="","",IF($O16=SUM($V16:$CB16),"OK","ERROR"))</f>
        <v/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73"/>
      <c r="BM16" s="66"/>
      <c r="BN16" s="66"/>
      <c r="BO16" s="66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</row>
    <row r="17" spans="1:80" x14ac:dyDescent="0.25">
      <c r="A17" s="69" t="str">
        <f>IF(F17="","",_xlfn.CONCAT(_xlfn.IFNA(VLOOKUP(I17,Ruyxat!$F$2:$G$6,2,0),""),_xlfn.IFNA(VLOOKUP(F17,Ruyxat!$T$2:$U$16,2,0),""),TEXT(MID(A16,7,5)+1,"00000")))</f>
        <v/>
      </c>
      <c r="B17" s="60">
        <v>15</v>
      </c>
      <c r="C17" s="60" t="str">
        <f>Ruyxat!B71</f>
        <v>Американка</v>
      </c>
      <c r="E17" s="61" t="str">
        <f>_xlfn.IFNA(VLOOKUP(D17,[1]Ruyxat!$J$2:$L$601,2,0),"")</f>
        <v/>
      </c>
      <c r="F17" s="62" t="str">
        <f>_xlfn.IFNA(VLOOKUP(D17,[1]Ruyxat!$J$2:$L$601,3,0),"")</f>
        <v/>
      </c>
      <c r="G17" s="105"/>
      <c r="H17" s="58"/>
      <c r="K17" s="59"/>
      <c r="L17" s="69"/>
      <c r="M17" s="61" t="str">
        <f t="shared" si="0"/>
        <v/>
      </c>
      <c r="N17" s="94"/>
      <c r="O17" s="93"/>
      <c r="P17" s="93">
        <v>0</v>
      </c>
      <c r="Q17" s="88"/>
      <c r="R17" s="64" t="str">
        <f t="shared" si="3"/>
        <v/>
      </c>
      <c r="S17" s="64" t="str">
        <f t="shared" si="1"/>
        <v/>
      </c>
      <c r="T17" s="64" t="str">
        <f t="shared" si="2"/>
        <v/>
      </c>
      <c r="U17" s="65" t="str">
        <f>IF($O17="","",IF($O17=SUM($V17:$CB17),"OK","ERROR"))</f>
        <v/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73"/>
      <c r="BM17" s="66"/>
      <c r="BN17" s="66"/>
      <c r="BO17" s="66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</row>
    <row r="18" spans="1:80" x14ac:dyDescent="0.25">
      <c r="A18" s="69" t="str">
        <f>IF(F18="","",_xlfn.CONCAT(_xlfn.IFNA(VLOOKUP(I18,Ruyxat!$F$2:$G$6,2,0),""),_xlfn.IFNA(VLOOKUP(F18,Ruyxat!$T$2:$U$16,2,0),""),TEXT(MID(A17,7,5)+1,"00000")))</f>
        <v/>
      </c>
      <c r="B18" s="60">
        <v>16</v>
      </c>
      <c r="C18" s="60" t="str">
        <f>Ruyxat!B72</f>
        <v>Олимпийка</v>
      </c>
      <c r="E18" s="61" t="str">
        <f>_xlfn.IFNA(VLOOKUP(D18,[1]Ruyxat!$J$2:$L$601,2,0),"")</f>
        <v/>
      </c>
      <c r="F18" s="62" t="str">
        <f>_xlfn.IFNA(VLOOKUP(D18,[1]Ruyxat!$J$2:$L$601,3,0),"")</f>
        <v/>
      </c>
      <c r="G18" s="105"/>
      <c r="H18" s="58"/>
      <c r="K18" s="59"/>
      <c r="L18" s="69"/>
      <c r="M18" s="61" t="str">
        <f t="shared" si="0"/>
        <v/>
      </c>
      <c r="N18" s="94"/>
      <c r="O18" s="94"/>
      <c r="P18" s="93">
        <v>0</v>
      </c>
      <c r="Q18" s="88"/>
      <c r="R18" s="64" t="str">
        <f t="shared" si="3"/>
        <v/>
      </c>
      <c r="S18" s="64" t="str">
        <f t="shared" si="1"/>
        <v/>
      </c>
      <c r="T18" s="64" t="str">
        <f t="shared" si="2"/>
        <v/>
      </c>
      <c r="U18" s="72" t="str">
        <f>IF($O18="","",IF($O18=SUM($V18:$CB18),"OK","ERROR"))</f>
        <v/>
      </c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73"/>
      <c r="BM18" s="66"/>
      <c r="BN18" s="66"/>
      <c r="BO18" s="66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</row>
    <row r="19" spans="1:80" x14ac:dyDescent="0.25">
      <c r="A19" s="69" t="str">
        <f>IF(F19="","",_xlfn.CONCAT(_xlfn.IFNA(VLOOKUP(I19,Ruyxat!$F$2:$G$6,2,0),""),_xlfn.IFNA(VLOOKUP(F19,Ruyxat!$T$2:$U$16,2,0),""),TEXT(MID(A18,7,5)+1,"00000")))</f>
        <v/>
      </c>
      <c r="B19" s="60">
        <v>17</v>
      </c>
      <c r="C19" s="60" t="str">
        <f>Ruyxat!B73</f>
        <v>Толстовка</v>
      </c>
      <c r="E19" s="61" t="str">
        <f>_xlfn.IFNA(VLOOKUP(D19,[1]Ruyxat!$J$2:$L$601,2,0),"")</f>
        <v/>
      </c>
      <c r="F19" s="62" t="str">
        <f>_xlfn.IFNA(VLOOKUP(D19,[1]Ruyxat!$J$2:$L$601,3,0),"")</f>
        <v/>
      </c>
      <c r="G19" s="63"/>
      <c r="H19" s="58"/>
      <c r="K19" s="59"/>
      <c r="L19" s="58"/>
      <c r="M19" s="61" t="str">
        <f t="shared" si="0"/>
        <v/>
      </c>
      <c r="N19" s="93"/>
      <c r="O19" s="93"/>
      <c r="P19" s="93"/>
      <c r="Q19" s="88"/>
      <c r="R19" s="64" t="str">
        <f t="shared" si="3"/>
        <v/>
      </c>
      <c r="S19" s="64" t="str">
        <f t="shared" si="1"/>
        <v/>
      </c>
      <c r="T19" s="64" t="str">
        <f t="shared" si="2"/>
        <v/>
      </c>
      <c r="U19" s="65" t="str">
        <f>IF($O19="","",IF($O19=SUM($V19:$CB19),"OK","ERROR"))</f>
        <v/>
      </c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73"/>
      <c r="BM19" s="66"/>
      <c r="BN19" s="66"/>
      <c r="BO19" s="66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</row>
    <row r="20" spans="1:80" x14ac:dyDescent="0.25">
      <c r="A20" s="69" t="str">
        <f>IF(F20="","",_xlfn.CONCAT(_xlfn.IFNA(VLOOKUP(I20,Ruyxat!$F$2:$G$6,2,0),""),_xlfn.IFNA(VLOOKUP(F20,Ruyxat!$T$2:$U$16,2,0),""),TEXT(MID(A19,7,5)+1,"00000")))</f>
        <v/>
      </c>
      <c r="B20" s="60">
        <v>18</v>
      </c>
      <c r="C20" s="60" t="str">
        <f>Ruyxat!B74</f>
        <v>Худи</v>
      </c>
      <c r="E20" s="61" t="str">
        <f>_xlfn.IFNA(VLOOKUP(D20,[1]Ruyxat!$J$2:$L$601,2,0),"")</f>
        <v/>
      </c>
      <c r="F20" s="62" t="str">
        <f>_xlfn.IFNA(VLOOKUP(D20,[1]Ruyxat!$J$2:$L$601,3,0),"")</f>
        <v/>
      </c>
      <c r="G20" s="70"/>
      <c r="H20" s="69"/>
      <c r="K20" s="71"/>
      <c r="L20" s="69"/>
      <c r="M20" s="61" t="str">
        <f t="shared" si="0"/>
        <v/>
      </c>
      <c r="N20" s="94"/>
      <c r="O20" s="94"/>
      <c r="P20" s="94"/>
      <c r="Q20" s="89"/>
      <c r="R20" s="64" t="str">
        <f t="shared" si="3"/>
        <v/>
      </c>
      <c r="S20" s="64" t="str">
        <f t="shared" si="1"/>
        <v/>
      </c>
      <c r="T20" s="64" t="str">
        <f t="shared" si="2"/>
        <v/>
      </c>
      <c r="U20" s="72" t="str">
        <f>IF($O20="","",IF($O20=SUM($V20:$CB20),"OK","ERROR"))</f>
        <v/>
      </c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73"/>
      <c r="BM20" s="66"/>
      <c r="BN20" s="66"/>
      <c r="BO20" s="66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</row>
    <row r="21" spans="1:80" x14ac:dyDescent="0.25">
      <c r="A21" s="69" t="str">
        <f>IF(F21="","",_xlfn.CONCAT(_xlfn.IFNA(VLOOKUP(I21,Ruyxat!$F$2:$G$6,2,0),""),_xlfn.IFNA(VLOOKUP(F21,Ruyxat!$T$2:$U$16,2,0),""),TEXT(MID(A20,7,5)+1,"00000")))</f>
        <v/>
      </c>
      <c r="B21" s="60">
        <v>19</v>
      </c>
      <c r="C21" s="60" t="str">
        <f>Ruyxat!B75</f>
        <v>Лонгслив</v>
      </c>
      <c r="E21" s="61" t="str">
        <f>_xlfn.IFNA(VLOOKUP(D21,[1]Ruyxat!$J$2:$L$601,2,0),"")</f>
        <v/>
      </c>
      <c r="F21" s="62" t="str">
        <f>_xlfn.IFNA(VLOOKUP(D21,[1]Ruyxat!$J$2:$L$601,3,0),"")</f>
        <v/>
      </c>
      <c r="G21" s="63"/>
      <c r="H21" s="58"/>
      <c r="K21" s="59"/>
      <c r="L21" s="58"/>
      <c r="M21" s="61" t="str">
        <f t="shared" si="0"/>
        <v/>
      </c>
      <c r="N21" s="93"/>
      <c r="O21" s="93"/>
      <c r="P21" s="93"/>
      <c r="Q21" s="88"/>
      <c r="R21" s="64" t="str">
        <f t="shared" si="3"/>
        <v/>
      </c>
      <c r="S21" s="64" t="str">
        <f t="shared" si="1"/>
        <v/>
      </c>
      <c r="T21" s="64" t="str">
        <f t="shared" si="2"/>
        <v/>
      </c>
      <c r="U21" s="65" t="str">
        <f>IF($O21="","",IF($O21=SUM($V21:$CB21),"OK","ERROR"))</f>
        <v/>
      </c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73"/>
      <c r="BM21" s="66"/>
      <c r="BN21" s="66"/>
      <c r="BO21" s="66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</row>
    <row r="22" spans="1:80" x14ac:dyDescent="0.25">
      <c r="A22" s="69" t="str">
        <f>IF(F22="","",_xlfn.CONCAT(_xlfn.IFNA(VLOOKUP(I22,Ruyxat!$F$2:$G$6,2,0),""),_xlfn.IFNA(VLOOKUP(F22,Ruyxat!$T$2:$U$16,2,0),""),TEXT(MID(A21,7,5)+1,"00000")))</f>
        <v/>
      </c>
      <c r="B22" s="60">
        <v>20</v>
      </c>
      <c r="C22" s="60" t="str">
        <f>Ruyxat!B76</f>
        <v>Футболка поло</v>
      </c>
      <c r="E22" s="61" t="str">
        <f>_xlfn.IFNA(VLOOKUP(D22,[1]Ruyxat!$J$2:$L$601,2,0),"")</f>
        <v/>
      </c>
      <c r="F22" s="62" t="str">
        <f>_xlfn.IFNA(VLOOKUP(D22,[1]Ruyxat!$J$2:$L$601,3,0),"")</f>
        <v/>
      </c>
      <c r="G22" s="70"/>
      <c r="H22" s="69"/>
      <c r="K22" s="71"/>
      <c r="L22" s="69"/>
      <c r="M22" s="61" t="str">
        <f t="shared" si="0"/>
        <v/>
      </c>
      <c r="N22" s="94"/>
      <c r="O22" s="94"/>
      <c r="P22" s="94"/>
      <c r="Q22" s="89"/>
      <c r="R22" s="64" t="str">
        <f t="shared" si="3"/>
        <v/>
      </c>
      <c r="S22" s="64" t="str">
        <f t="shared" si="1"/>
        <v/>
      </c>
      <c r="T22" s="64" t="str">
        <f t="shared" si="2"/>
        <v/>
      </c>
      <c r="U22" s="72" t="str">
        <f>IF($O22="","",IF($O22=SUM($V22:$CB22),"OK","ERROR"))</f>
        <v/>
      </c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73"/>
      <c r="BM22" s="66"/>
      <c r="BN22" s="66"/>
      <c r="BO22" s="66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</row>
    <row r="23" spans="1:80" x14ac:dyDescent="0.25">
      <c r="A23" s="69" t="str">
        <f>IF(F23="","",_xlfn.CONCAT(_xlfn.IFNA(VLOOKUP(I23,Ruyxat!$F$2:$G$6,2,0),""),_xlfn.IFNA(VLOOKUP(F23,Ruyxat!$T$2:$U$16,2,0),""),TEXT(MID(A22,7,5)+1,"00000")))</f>
        <v/>
      </c>
      <c r="B23" s="60">
        <v>21</v>
      </c>
      <c r="C23" s="60" t="str">
        <f>Ruyxat!B77</f>
        <v>Поло с длинными рукавами</v>
      </c>
      <c r="E23" s="61" t="str">
        <f>_xlfn.IFNA(VLOOKUP(D23,[1]Ruyxat!$J$2:$L$601,2,0),"")</f>
        <v/>
      </c>
      <c r="F23" s="62" t="str">
        <f>_xlfn.IFNA(VLOOKUP(D23,[1]Ruyxat!$J$2:$L$601,3,0),"")</f>
        <v/>
      </c>
      <c r="G23" s="63"/>
      <c r="H23" s="58"/>
      <c r="K23" s="59"/>
      <c r="L23" s="58"/>
      <c r="M23" s="61" t="str">
        <f t="shared" si="0"/>
        <v/>
      </c>
      <c r="N23" s="93"/>
      <c r="O23" s="93"/>
      <c r="P23" s="93"/>
      <c r="Q23" s="88"/>
      <c r="R23" s="64" t="str">
        <f t="shared" si="3"/>
        <v/>
      </c>
      <c r="S23" s="64" t="str">
        <f t="shared" si="1"/>
        <v/>
      </c>
      <c r="T23" s="64" t="str">
        <f t="shared" si="2"/>
        <v/>
      </c>
      <c r="U23" s="65" t="str">
        <f>IF($O23="","",IF($O23=SUM($V23:$CB23),"OK","ERROR"))</f>
        <v/>
      </c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73"/>
      <c r="BM23" s="66"/>
      <c r="BN23" s="66"/>
      <c r="BO23" s="66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</row>
    <row r="24" spans="1:80" x14ac:dyDescent="0.25">
      <c r="A24" s="69" t="str">
        <f>IF(F24="","",_xlfn.CONCAT(_xlfn.IFNA(VLOOKUP(I24,Ruyxat!$F$2:$G$6,2,0),""),_xlfn.IFNA(VLOOKUP(F24,Ruyxat!$T$2:$U$16,2,0),""),TEXT(MID(A23,7,5)+1,"00000")))</f>
        <v/>
      </c>
      <c r="B24" s="60">
        <v>22</v>
      </c>
      <c r="C24" s="60" t="str">
        <f>Ruyxat!B78</f>
        <v>Футболка</v>
      </c>
      <c r="E24" s="61" t="str">
        <f>_xlfn.IFNA(VLOOKUP(D24,[1]Ruyxat!$J$2:$L$601,2,0),"")</f>
        <v/>
      </c>
      <c r="F24" s="62" t="str">
        <f>_xlfn.IFNA(VLOOKUP(D24,[1]Ruyxat!$J$2:$L$601,3,0),"")</f>
        <v/>
      </c>
      <c r="G24" s="70"/>
      <c r="H24" s="69"/>
      <c r="K24" s="71"/>
      <c r="L24" s="69"/>
      <c r="M24" s="61" t="str">
        <f t="shared" si="0"/>
        <v/>
      </c>
      <c r="N24" s="94"/>
      <c r="O24" s="94"/>
      <c r="P24" s="94"/>
      <c r="Q24" s="89"/>
      <c r="R24" s="64" t="str">
        <f t="shared" si="3"/>
        <v/>
      </c>
      <c r="S24" s="64" t="str">
        <f t="shared" si="1"/>
        <v/>
      </c>
      <c r="T24" s="64" t="str">
        <f t="shared" si="2"/>
        <v/>
      </c>
      <c r="U24" s="72" t="str">
        <f>IF($O24="","",IF($O24=SUM($V24:$CB24),"OK","ERROR"))</f>
        <v/>
      </c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73"/>
      <c r="BM24" s="66"/>
      <c r="BN24" s="66"/>
      <c r="BO24" s="66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</row>
    <row r="25" spans="1:80" x14ac:dyDescent="0.25">
      <c r="A25" s="69" t="str">
        <f>IF(F25="","",_xlfn.CONCAT(_xlfn.IFNA(VLOOKUP(I25,Ruyxat!$F$2:$G$6,2,0),""),_xlfn.IFNA(VLOOKUP(F25,Ruyxat!$T$2:$U$16,2,0),""),TEXT(MID(A24,7,5)+1,"00000")))</f>
        <v/>
      </c>
      <c r="B25" s="60">
        <v>23</v>
      </c>
      <c r="C25" s="60" t="str">
        <f>Ruyxat!B79</f>
        <v>Футболка безрукавка</v>
      </c>
      <c r="E25" s="61" t="str">
        <f>_xlfn.IFNA(VLOOKUP(D25,[1]Ruyxat!$J$2:$L$601,2,0),"")</f>
        <v/>
      </c>
      <c r="F25" s="62" t="str">
        <f>_xlfn.IFNA(VLOOKUP(D25,[1]Ruyxat!$J$2:$L$601,3,0),"")</f>
        <v/>
      </c>
      <c r="G25" s="63"/>
      <c r="H25" s="58"/>
      <c r="K25" s="59"/>
      <c r="L25" s="58"/>
      <c r="M25" s="61" t="str">
        <f t="shared" si="0"/>
        <v/>
      </c>
      <c r="N25" s="93"/>
      <c r="O25" s="93"/>
      <c r="P25" s="93"/>
      <c r="Q25" s="88"/>
      <c r="R25" s="64" t="str">
        <f t="shared" si="3"/>
        <v/>
      </c>
      <c r="S25" s="64" t="str">
        <f t="shared" si="1"/>
        <v/>
      </c>
      <c r="T25" s="64" t="str">
        <f t="shared" si="2"/>
        <v/>
      </c>
      <c r="U25" s="65" t="str">
        <f>IF($O25="","",IF($O25=SUM($V25:$CB25),"OK","ERROR"))</f>
        <v/>
      </c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73"/>
      <c r="BM25" s="66"/>
      <c r="BN25" s="66"/>
      <c r="BO25" s="66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</row>
    <row r="26" spans="1:80" x14ac:dyDescent="0.25">
      <c r="A26" s="69" t="str">
        <f>IF(F26="","",_xlfn.CONCAT(_xlfn.IFNA(VLOOKUP(I26,Ruyxat!$F$2:$G$6,2,0),""),_xlfn.IFNA(VLOOKUP(F26,Ruyxat!$T$2:$U$16,2,0),""),TEXT(MID(A25,7,5)+1,"00000")))</f>
        <v/>
      </c>
      <c r="B26" s="60">
        <v>24</v>
      </c>
      <c r="C26" s="60" t="str">
        <f>Ruyxat!B80</f>
        <v>Футболка поло с д.р</v>
      </c>
      <c r="E26" s="61" t="str">
        <f>_xlfn.IFNA(VLOOKUP(D26,[1]Ruyxat!$J$2:$L$601,2,0),"")</f>
        <v/>
      </c>
      <c r="F26" s="62" t="str">
        <f>_xlfn.IFNA(VLOOKUP(D26,[1]Ruyxat!$J$2:$L$601,3,0),"")</f>
        <v/>
      </c>
      <c r="G26" s="70"/>
      <c r="H26" s="69"/>
      <c r="K26" s="71"/>
      <c r="L26" s="69"/>
      <c r="M26" s="61" t="str">
        <f t="shared" si="0"/>
        <v/>
      </c>
      <c r="N26" s="94"/>
      <c r="O26" s="94"/>
      <c r="P26" s="94"/>
      <c r="Q26" s="89"/>
      <c r="R26" s="64" t="str">
        <f t="shared" si="3"/>
        <v/>
      </c>
      <c r="S26" s="64" t="str">
        <f t="shared" si="1"/>
        <v/>
      </c>
      <c r="T26" s="64" t="str">
        <f t="shared" si="2"/>
        <v/>
      </c>
      <c r="U26" s="72" t="str">
        <f>IF($O26="","",IF($O26=SUM($V26:$CB26),"OK","ERROR"))</f>
        <v/>
      </c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73"/>
      <c r="BM26" s="66"/>
      <c r="BN26" s="66"/>
      <c r="BO26" s="66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</row>
    <row r="27" spans="1:80" x14ac:dyDescent="0.25">
      <c r="A27" s="69" t="str">
        <f>IF(F27="","",_xlfn.CONCAT(_xlfn.IFNA(VLOOKUP(I27,Ruyxat!$F$2:$G$6,2,0),""),_xlfn.IFNA(VLOOKUP(F27,Ruyxat!$T$2:$U$16,2,0),""),TEXT(MID(A26,7,5)+1,"00000")))</f>
        <v/>
      </c>
      <c r="B27" s="60">
        <v>25</v>
      </c>
      <c r="C27" s="60" t="str">
        <f>Ruyxat!B81</f>
        <v>Блузка и юбка</v>
      </c>
      <c r="E27" s="61" t="str">
        <f>_xlfn.IFNA(VLOOKUP(D27,[1]Ruyxat!$J$2:$L$601,2,0),"")</f>
        <v/>
      </c>
      <c r="F27" s="62" t="str">
        <f>_xlfn.IFNA(VLOOKUP(D27,[1]Ruyxat!$J$2:$L$601,3,0),"")</f>
        <v/>
      </c>
      <c r="G27" s="63"/>
      <c r="H27" s="58"/>
      <c r="K27" s="59"/>
      <c r="L27" s="58"/>
      <c r="M27" s="61" t="str">
        <f t="shared" si="0"/>
        <v/>
      </c>
      <c r="N27" s="93"/>
      <c r="O27" s="93"/>
      <c r="P27" s="93"/>
      <c r="Q27" s="88"/>
      <c r="R27" s="64" t="str">
        <f t="shared" si="3"/>
        <v/>
      </c>
      <c r="S27" s="64" t="str">
        <f t="shared" si="1"/>
        <v/>
      </c>
      <c r="T27" s="64" t="str">
        <f t="shared" si="2"/>
        <v/>
      </c>
      <c r="U27" s="65" t="str">
        <f>IF($O27="","",IF($O27=SUM($V27:$CB27),"OK","ERROR"))</f>
        <v/>
      </c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73"/>
      <c r="BM27" s="66"/>
      <c r="BN27" s="66"/>
      <c r="BO27" s="66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</row>
    <row r="28" spans="1:80" x14ac:dyDescent="0.25">
      <c r="A28" s="69" t="str">
        <f>IF(F28="","",_xlfn.CONCAT(_xlfn.IFNA(VLOOKUP(I28,Ruyxat!$F$2:$G$6,2,0),""),_xlfn.IFNA(VLOOKUP(F28,Ruyxat!$T$2:$U$16,2,0),""),TEXT(MID(A27,7,5)+1,"00000")))</f>
        <v/>
      </c>
      <c r="B28" s="60">
        <v>26</v>
      </c>
      <c r="C28" s="60" t="str">
        <f>Ruyxat!B82</f>
        <v>Боди и штаны</v>
      </c>
      <c r="E28" s="61" t="str">
        <f>_xlfn.IFNA(VLOOKUP(D28,[1]Ruyxat!$J$2:$L$601,2,0),"")</f>
        <v/>
      </c>
      <c r="F28" s="62" t="str">
        <f>_xlfn.IFNA(VLOOKUP(D28,[1]Ruyxat!$J$2:$L$601,3,0),"")</f>
        <v/>
      </c>
      <c r="G28" s="70"/>
      <c r="H28" s="69"/>
      <c r="K28" s="71"/>
      <c r="L28" s="69"/>
      <c r="M28" s="61" t="str">
        <f t="shared" si="0"/>
        <v/>
      </c>
      <c r="N28" s="94"/>
      <c r="O28" s="94"/>
      <c r="P28" s="94"/>
      <c r="Q28" s="89"/>
      <c r="R28" s="64" t="str">
        <f t="shared" si="3"/>
        <v/>
      </c>
      <c r="S28" s="64" t="str">
        <f t="shared" si="1"/>
        <v/>
      </c>
      <c r="T28" s="64" t="str">
        <f t="shared" si="2"/>
        <v/>
      </c>
      <c r="U28" s="72" t="str">
        <f>IF($O28="","",IF($O28=SUM($V28:$CB28),"OK","ERROR"))</f>
        <v/>
      </c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73"/>
      <c r="BM28" s="66"/>
      <c r="BN28" s="66"/>
      <c r="BO28" s="66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</row>
    <row r="29" spans="1:80" x14ac:dyDescent="0.25">
      <c r="A29" s="69" t="str">
        <f>IF(F29="","",_xlfn.CONCAT(_xlfn.IFNA(VLOOKUP(I29,Ruyxat!$F$2:$G$6,2,0),""),_xlfn.IFNA(VLOOKUP(F29,Ruyxat!$T$2:$U$16,2,0),""),TEXT(MID(A28,7,5)+1,"00000")))</f>
        <v/>
      </c>
      <c r="B29" s="60">
        <v>27</v>
      </c>
      <c r="C29" s="60" t="str">
        <f>Ruyxat!B83</f>
        <v>Ветровка и штаны</v>
      </c>
      <c r="E29" s="61" t="str">
        <f>_xlfn.IFNA(VLOOKUP(D29,[1]Ruyxat!$J$2:$L$601,2,0),"")</f>
        <v/>
      </c>
      <c r="F29" s="62" t="str">
        <f>_xlfn.IFNA(VLOOKUP(D29,[1]Ruyxat!$J$2:$L$601,3,0),"")</f>
        <v/>
      </c>
      <c r="G29" s="63"/>
      <c r="H29" s="58"/>
      <c r="K29" s="59"/>
      <c r="L29" s="58"/>
      <c r="M29" s="61" t="str">
        <f t="shared" si="0"/>
        <v/>
      </c>
      <c r="N29" s="93"/>
      <c r="O29" s="93"/>
      <c r="P29" s="93"/>
      <c r="Q29" s="88"/>
      <c r="R29" s="64" t="str">
        <f t="shared" si="3"/>
        <v/>
      </c>
      <c r="S29" s="64" t="str">
        <f t="shared" si="1"/>
        <v/>
      </c>
      <c r="T29" s="64" t="str">
        <f t="shared" si="2"/>
        <v/>
      </c>
      <c r="U29" s="65" t="str">
        <f>IF($O29="","",IF($O29=SUM($V29:$CB29),"OK","ERROR"))</f>
        <v/>
      </c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73"/>
      <c r="BM29" s="66"/>
      <c r="BN29" s="66"/>
      <c r="BO29" s="66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</row>
    <row r="30" spans="1:80" x14ac:dyDescent="0.25">
      <c r="A30" s="69" t="str">
        <f>IF(F30="","",_xlfn.CONCAT(_xlfn.IFNA(VLOOKUP(I30,Ruyxat!$F$2:$G$6,2,0),""),_xlfn.IFNA(VLOOKUP(F30,Ruyxat!$T$2:$U$16,2,0),""),TEXT(MID(A29,7,5)+1,"00000")))</f>
        <v/>
      </c>
      <c r="B30" s="60">
        <v>28</v>
      </c>
      <c r="C30" s="60" t="str">
        <f>Ruyxat!B84</f>
        <v>Ветровка и юбка</v>
      </c>
      <c r="E30" s="61" t="str">
        <f>_xlfn.IFNA(VLOOKUP(D30,[1]Ruyxat!$J$2:$L$601,2,0),"")</f>
        <v/>
      </c>
      <c r="F30" s="62" t="str">
        <f>_xlfn.IFNA(VLOOKUP(D30,[1]Ruyxat!$J$2:$L$601,3,0),"")</f>
        <v/>
      </c>
      <c r="G30" s="70"/>
      <c r="H30" s="69"/>
      <c r="K30" s="71"/>
      <c r="L30" s="69"/>
      <c r="M30" s="61" t="str">
        <f t="shared" si="0"/>
        <v/>
      </c>
      <c r="N30" s="94"/>
      <c r="O30" s="94"/>
      <c r="P30" s="94"/>
      <c r="Q30" s="89"/>
      <c r="R30" s="64" t="str">
        <f t="shared" si="3"/>
        <v/>
      </c>
      <c r="S30" s="64" t="str">
        <f t="shared" si="1"/>
        <v/>
      </c>
      <c r="T30" s="64" t="str">
        <f t="shared" si="2"/>
        <v/>
      </c>
      <c r="U30" s="72" t="str">
        <f>IF($O30="","",IF($O30=SUM($V30:$CB30),"OK","ERROR"))</f>
        <v/>
      </c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73"/>
      <c r="BM30" s="66"/>
      <c r="BN30" s="66"/>
      <c r="BO30" s="66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</row>
    <row r="31" spans="1:80" x14ac:dyDescent="0.25">
      <c r="A31" s="69" t="str">
        <f>IF(F31="","",_xlfn.CONCAT(_xlfn.IFNA(VLOOKUP(I31,Ruyxat!$F$2:$G$6,2,0),""),_xlfn.IFNA(VLOOKUP(F31,Ruyxat!$T$2:$U$16,2,0),""),TEXT(MID(A30,7,5)+1,"00000")))</f>
        <v/>
      </c>
      <c r="B31" s="74">
        <v>29</v>
      </c>
      <c r="C31" s="74" t="str">
        <f>Ruyxat!B85</f>
        <v>Водолазка и сарафан</v>
      </c>
      <c r="E31" s="61" t="str">
        <f>_xlfn.IFNA(VLOOKUP(D31,[1]Ruyxat!$J$2:$L$601,2,0),"")</f>
        <v/>
      </c>
      <c r="F31" s="77" t="str">
        <f>_xlfn.IFNA(VLOOKUP(D31,[1]Ruyxat!$J$2:$L$601,3,0),"")</f>
        <v/>
      </c>
      <c r="G31" s="78"/>
      <c r="H31" s="75"/>
      <c r="K31" s="79"/>
      <c r="L31" s="75"/>
      <c r="M31" s="76" t="str">
        <f t="shared" si="0"/>
        <v/>
      </c>
      <c r="N31" s="95"/>
      <c r="O31" s="95"/>
      <c r="P31" s="95"/>
      <c r="Q31" s="90"/>
      <c r="R31" s="80" t="str">
        <f t="shared" si="3"/>
        <v/>
      </c>
      <c r="S31" s="80" t="str">
        <f t="shared" si="1"/>
        <v/>
      </c>
      <c r="T31" s="80" t="str">
        <f t="shared" si="2"/>
        <v/>
      </c>
      <c r="U31" s="81" t="str">
        <f>IF($O31="","",IF($O31=SUM($V31:$CB31),"OK","ERROR"))</f>
        <v/>
      </c>
      <c r="V31" s="82"/>
      <c r="W31" s="83"/>
      <c r="X31" s="83"/>
      <c r="Y31" s="83"/>
      <c r="Z31" s="83"/>
      <c r="AA31" s="83"/>
      <c r="AB31" s="83"/>
      <c r="AC31" s="66"/>
      <c r="AD31" s="66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4"/>
      <c r="BM31" s="82"/>
      <c r="BN31" s="66"/>
      <c r="BO31" s="66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</row>
  </sheetData>
  <phoneticPr fontId="13" type="noConversion"/>
  <conditionalFormatting sqref="U3:V31">
    <cfRule type="cellIs" dxfId="23" priority="1" operator="equal">
      <formula>"ERROR"</formula>
    </cfRule>
    <cfRule type="cellIs" dxfId="22" priority="2" operator="equal">
      <formula>"OK"</formula>
    </cfRule>
  </conditionalFormatting>
  <pageMargins left="0.7" right="0.7" top="0.75" bottom="0.75" header="0.3" footer="0.3"/>
  <pageSetup paperSize="9" orientation="portrait" r:id="rId1"/>
  <ignoredErrors>
    <ignoredError sqref="S3:T3 R6:T31 E3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6A7549-4687-47EF-A511-B410BA097535}">
          <x14:formula1>
            <xm:f>Ruyxat!$F$2:$F$6</xm:f>
          </x14:formula1>
          <xm:sqref>J19:J31 I3:I31</xm:sqref>
        </x14:dataValidation>
        <x14:dataValidation type="list" allowBlank="1" showInputMessage="1" showErrorMessage="1" xr:uid="{7586188F-597A-4381-AD81-AC01D5FD6F3F}">
          <x14:formula1>
            <xm:f>Ruyxat!$E$2:$E$5</xm:f>
          </x14:formula1>
          <xm:sqref>J3:J18</xm:sqref>
        </x14:dataValidation>
        <x14:dataValidation type="list" allowBlank="1" showInputMessage="1" showErrorMessage="1" xr:uid="{2E751B75-62DC-4252-B346-E85EEACE85D7}">
          <x14:formula1>
            <xm:f>Ruyxat!$J$2:$J$264</xm:f>
          </x14:formula1>
          <xm:sqref>D3:D31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2689-6D6B-4800-B466-5581D24E2B2E}">
  <dimension ref="A1:R11"/>
  <sheetViews>
    <sheetView workbookViewId="0">
      <selection activeCell="M13" sqref="M13"/>
    </sheetView>
  </sheetViews>
  <sheetFormatPr defaultRowHeight="15" x14ac:dyDescent="0.25"/>
  <cols>
    <col min="1" max="1" width="12.85546875" bestFit="1" customWidth="1"/>
    <col min="2" max="2" width="13.42578125" bestFit="1" customWidth="1"/>
    <col min="3" max="3" width="20.85546875" bestFit="1" customWidth="1"/>
    <col min="4" max="4" width="12" bestFit="1" customWidth="1"/>
    <col min="5" max="5" width="14.7109375" bestFit="1" customWidth="1"/>
    <col min="6" max="6" width="9.140625" bestFit="1" customWidth="1"/>
    <col min="7" max="7" width="13.28515625" bestFit="1" customWidth="1"/>
    <col min="8" max="8" width="12.5703125" bestFit="1" customWidth="1"/>
    <col min="9" max="9" width="18" bestFit="1" customWidth="1"/>
    <col min="10" max="10" width="8.85546875" bestFit="1" customWidth="1"/>
    <col min="11" max="11" width="18.7109375" bestFit="1" customWidth="1"/>
    <col min="12" max="12" width="17" bestFit="1" customWidth="1"/>
    <col min="13" max="13" width="14.28515625" bestFit="1" customWidth="1"/>
    <col min="14" max="14" width="13.85546875" bestFit="1" customWidth="1"/>
    <col min="15" max="15" width="19.7109375" bestFit="1" customWidth="1"/>
    <col min="16" max="16" width="17.28515625" bestFit="1" customWidth="1"/>
    <col min="17" max="17" width="46.85546875" bestFit="1" customWidth="1"/>
    <col min="18" max="19" width="12.42578125" bestFit="1" customWidth="1"/>
    <col min="20" max="20" width="11.85546875" bestFit="1" customWidth="1"/>
    <col min="21" max="21" width="16.5703125" bestFit="1" customWidth="1"/>
    <col min="22" max="23" width="21.28515625" bestFit="1" customWidth="1"/>
    <col min="24" max="24" width="18.7109375" bestFit="1" customWidth="1"/>
    <col min="25" max="25" width="21.28515625" bestFit="1" customWidth="1"/>
    <col min="26" max="26" width="16.5703125" customWidth="1"/>
    <col min="27" max="27" width="22.28515625" customWidth="1"/>
    <col min="28" max="28" width="18.7109375" bestFit="1" customWidth="1"/>
    <col min="29" max="29" width="13.28515625" customWidth="1"/>
    <col min="30" max="30" width="16.28515625" bestFit="1" customWidth="1"/>
    <col min="31" max="31" width="8.85546875" bestFit="1" customWidth="1"/>
    <col min="32" max="32" width="13.28515625" bestFit="1" customWidth="1"/>
    <col min="33" max="33" width="16.5703125" bestFit="1" customWidth="1"/>
    <col min="34" max="34" width="12" bestFit="1" customWidth="1"/>
  </cols>
  <sheetData>
    <row r="1" spans="1:18" x14ac:dyDescent="0.25">
      <c r="A1" t="s">
        <v>490</v>
      </c>
      <c r="B1" t="s">
        <v>6</v>
      </c>
      <c r="C1" t="s">
        <v>7</v>
      </c>
      <c r="D1" t="s">
        <v>493</v>
      </c>
      <c r="E1" t="s">
        <v>494</v>
      </c>
      <c r="F1" t="s">
        <v>495</v>
      </c>
      <c r="G1" t="s">
        <v>529</v>
      </c>
      <c r="H1" t="s">
        <v>2</v>
      </c>
      <c r="I1" t="s">
        <v>498</v>
      </c>
      <c r="J1" t="s">
        <v>530</v>
      </c>
      <c r="K1" t="s">
        <v>608</v>
      </c>
      <c r="L1" t="s">
        <v>501</v>
      </c>
      <c r="M1" t="s">
        <v>10</v>
      </c>
      <c r="N1" t="s">
        <v>499</v>
      </c>
      <c r="O1" s="152" t="s">
        <v>496</v>
      </c>
      <c r="P1" s="106" t="s">
        <v>505</v>
      </c>
      <c r="Q1" s="106" t="s">
        <v>497</v>
      </c>
      <c r="R1" s="152" t="s">
        <v>543</v>
      </c>
    </row>
    <row r="2" spans="1:18" x14ac:dyDescent="0.25">
      <c r="A2" t="s">
        <v>662</v>
      </c>
      <c r="B2" t="s">
        <v>476</v>
      </c>
      <c r="C2" t="s">
        <v>472</v>
      </c>
      <c r="D2" t="s">
        <v>108</v>
      </c>
      <c r="E2" t="s">
        <v>610</v>
      </c>
      <c r="F2" t="s">
        <v>609</v>
      </c>
      <c r="G2" t="s">
        <v>50</v>
      </c>
      <c r="H2" t="s">
        <v>34</v>
      </c>
      <c r="I2" t="s">
        <v>532</v>
      </c>
      <c r="J2" t="s">
        <v>607</v>
      </c>
      <c r="K2">
        <v>150000</v>
      </c>
      <c r="L2">
        <v>175000</v>
      </c>
      <c r="M2" t="s">
        <v>589</v>
      </c>
      <c r="N2" s="153">
        <v>30</v>
      </c>
      <c r="O2" s="107" t="s">
        <v>611</v>
      </c>
      <c r="P2" t="str">
        <f>_xlfn.CONCAT(A2,VLOOKUP(M2,Ruyxat!Z:AA,2,0))</f>
        <v>A26TOP00405BRG</v>
      </c>
      <c r="Q2" t="str">
        <f t="shared" ref="Q2:Q11" si="0">IF(B2="","",TRIM(B2&amp;" "&amp;O2&amp;"  "&amp;E2&amp;" "&amp;F2&amp;" "&amp;R2))</f>
        <v>Свитер варот замок мадел 1M21241-1587 LIWALI</v>
      </c>
      <c r="R2" s="107"/>
    </row>
    <row r="3" spans="1:18" x14ac:dyDescent="0.25">
      <c r="A3" t="s">
        <v>662</v>
      </c>
      <c r="B3" t="s">
        <v>476</v>
      </c>
      <c r="C3" t="s">
        <v>472</v>
      </c>
      <c r="D3" t="s">
        <v>108</v>
      </c>
      <c r="E3" t="s">
        <v>610</v>
      </c>
      <c r="F3" t="s">
        <v>609</v>
      </c>
      <c r="G3" t="s">
        <v>50</v>
      </c>
      <c r="H3" t="s">
        <v>34</v>
      </c>
      <c r="I3" t="s">
        <v>532</v>
      </c>
      <c r="J3" t="s">
        <v>607</v>
      </c>
      <c r="K3">
        <v>150000</v>
      </c>
      <c r="L3">
        <v>175000</v>
      </c>
      <c r="M3" t="s">
        <v>592</v>
      </c>
      <c r="N3" s="153">
        <v>55</v>
      </c>
      <c r="O3" s="107" t="s">
        <v>611</v>
      </c>
      <c r="P3" t="str">
        <f>_xlfn.CONCAT(A3,VLOOKUP(M3,Ruyxat!Z:AA,2,0))</f>
        <v>A26TOP00405DBL</v>
      </c>
      <c r="Q3" t="str">
        <f t="shared" si="0"/>
        <v>Свитер варот замок мадел 1M21241-1587 LIWALI</v>
      </c>
      <c r="R3" s="107"/>
    </row>
    <row r="4" spans="1:18" x14ac:dyDescent="0.25">
      <c r="A4" t="s">
        <v>662</v>
      </c>
      <c r="B4" t="s">
        <v>476</v>
      </c>
      <c r="C4" t="s">
        <v>472</v>
      </c>
      <c r="D4" t="s">
        <v>108</v>
      </c>
      <c r="E4" t="s">
        <v>610</v>
      </c>
      <c r="F4" t="s">
        <v>609</v>
      </c>
      <c r="G4" t="s">
        <v>50</v>
      </c>
      <c r="H4" t="s">
        <v>34</v>
      </c>
      <c r="I4" t="s">
        <v>532</v>
      </c>
      <c r="J4" t="s">
        <v>607</v>
      </c>
      <c r="K4">
        <v>150000</v>
      </c>
      <c r="L4">
        <v>175000</v>
      </c>
      <c r="M4" t="s">
        <v>596</v>
      </c>
      <c r="N4" s="153">
        <v>6</v>
      </c>
      <c r="O4" s="107" t="s">
        <v>611</v>
      </c>
      <c r="P4" t="str">
        <f>_xlfn.CONCAT(A4,VLOOKUP(M4,Ruyxat!Z:AA,2,0))</f>
        <v>A26TOP00405DBR</v>
      </c>
      <c r="Q4" t="str">
        <f t="shared" si="0"/>
        <v>Свитер варот замок мадел 1M21241-1587 LIWALI</v>
      </c>
      <c r="R4" s="107"/>
    </row>
    <row r="5" spans="1:18" x14ac:dyDescent="0.25">
      <c r="A5" t="s">
        <v>662</v>
      </c>
      <c r="B5" t="s">
        <v>476</v>
      </c>
      <c r="C5" t="s">
        <v>472</v>
      </c>
      <c r="D5" t="s">
        <v>108</v>
      </c>
      <c r="E5" t="s">
        <v>610</v>
      </c>
      <c r="F5" t="s">
        <v>609</v>
      </c>
      <c r="G5" t="s">
        <v>50</v>
      </c>
      <c r="H5" t="s">
        <v>34</v>
      </c>
      <c r="I5" t="s">
        <v>532</v>
      </c>
      <c r="J5" t="s">
        <v>607</v>
      </c>
      <c r="K5">
        <v>150000</v>
      </c>
      <c r="L5">
        <v>175000</v>
      </c>
      <c r="M5" t="s">
        <v>606</v>
      </c>
      <c r="N5" s="153">
        <v>29</v>
      </c>
      <c r="O5" s="107" t="s">
        <v>611</v>
      </c>
      <c r="P5" t="str">
        <f>_xlfn.CONCAT(A5,VLOOKUP(M5,Ruyxat!Z:AA,2,0))</f>
        <v>A26TOP00405BLK</v>
      </c>
      <c r="Q5" t="str">
        <f t="shared" si="0"/>
        <v>Свитер варот замок мадел 1M21241-1587 LIWALI</v>
      </c>
      <c r="R5" s="107"/>
    </row>
    <row r="6" spans="1:18" x14ac:dyDescent="0.25">
      <c r="A6" t="s">
        <v>663</v>
      </c>
      <c r="B6" t="s">
        <v>476</v>
      </c>
      <c r="C6" t="s">
        <v>472</v>
      </c>
      <c r="D6" t="s">
        <v>108</v>
      </c>
      <c r="E6" t="s">
        <v>658</v>
      </c>
      <c r="F6" t="s">
        <v>609</v>
      </c>
      <c r="G6" t="s">
        <v>50</v>
      </c>
      <c r="H6" t="s">
        <v>34</v>
      </c>
      <c r="I6" t="s">
        <v>532</v>
      </c>
      <c r="J6" t="s">
        <v>607</v>
      </c>
      <c r="K6">
        <v>150000</v>
      </c>
      <c r="L6">
        <v>175000</v>
      </c>
      <c r="M6" t="s">
        <v>660</v>
      </c>
      <c r="N6" s="153">
        <v>26</v>
      </c>
      <c r="O6" s="107" t="s">
        <v>659</v>
      </c>
      <c r="P6" t="str">
        <f>_xlfn.CONCAT(A6,VLOOKUP(M6,Ruyxat!Z:AA,2,0))</f>
        <v>A26TOP00406DGR</v>
      </c>
      <c r="Q6" t="str">
        <f t="shared" si="0"/>
        <v>Свитер варот замок мелани 1M21241-1485 LIWALI</v>
      </c>
      <c r="R6" s="107"/>
    </row>
    <row r="7" spans="1:18" x14ac:dyDescent="0.25">
      <c r="A7" t="s">
        <v>663</v>
      </c>
      <c r="B7" t="s">
        <v>476</v>
      </c>
      <c r="C7" t="s">
        <v>472</v>
      </c>
      <c r="D7" t="s">
        <v>108</v>
      </c>
      <c r="E7" t="s">
        <v>658</v>
      </c>
      <c r="F7" t="s">
        <v>609</v>
      </c>
      <c r="G7" t="s">
        <v>50</v>
      </c>
      <c r="H7" t="s">
        <v>34</v>
      </c>
      <c r="I7" t="s">
        <v>532</v>
      </c>
      <c r="J7" t="s">
        <v>607</v>
      </c>
      <c r="K7">
        <v>150000</v>
      </c>
      <c r="L7">
        <v>175000</v>
      </c>
      <c r="M7" t="s">
        <v>634</v>
      </c>
      <c r="N7" s="153">
        <v>127</v>
      </c>
      <c r="O7" s="107" t="s">
        <v>659</v>
      </c>
      <c r="P7" t="str">
        <f>_xlfn.CONCAT(A7,VLOOKUP(M7,Ruyxat!Z:AA,2,0))</f>
        <v>A26TOP00406DBN</v>
      </c>
      <c r="Q7" t="str">
        <f t="shared" si="0"/>
        <v>Свитер варот замок мелани 1M21241-1485 LIWALI</v>
      </c>
      <c r="R7" s="107"/>
    </row>
    <row r="8" spans="1:18" x14ac:dyDescent="0.25">
      <c r="A8" t="s">
        <v>663</v>
      </c>
      <c r="B8" t="s">
        <v>476</v>
      </c>
      <c r="C8" t="s">
        <v>472</v>
      </c>
      <c r="D8" t="s">
        <v>108</v>
      </c>
      <c r="E8" t="s">
        <v>658</v>
      </c>
      <c r="F8" t="s">
        <v>609</v>
      </c>
      <c r="G8" t="s">
        <v>50</v>
      </c>
      <c r="H8" t="s">
        <v>34</v>
      </c>
      <c r="I8" t="s">
        <v>532</v>
      </c>
      <c r="J8" t="s">
        <v>607</v>
      </c>
      <c r="K8">
        <v>150000</v>
      </c>
      <c r="L8">
        <v>175000</v>
      </c>
      <c r="M8" t="s">
        <v>616</v>
      </c>
      <c r="N8" s="153">
        <v>27</v>
      </c>
      <c r="O8" s="107" t="s">
        <v>659</v>
      </c>
      <c r="P8" t="str">
        <f>_xlfn.CONCAT(A8,VLOOKUP(M8,Ruyxat!Z:AA,2,0))</f>
        <v>A26TOP00406BRD</v>
      </c>
      <c r="Q8" t="str">
        <f t="shared" si="0"/>
        <v>Свитер варот замок мелани 1M21241-1485 LIWALI</v>
      </c>
      <c r="R8" s="107"/>
    </row>
    <row r="9" spans="1:18" x14ac:dyDescent="0.25">
      <c r="A9" t="s">
        <v>663</v>
      </c>
      <c r="B9" t="s">
        <v>476</v>
      </c>
      <c r="C9" t="s">
        <v>472</v>
      </c>
      <c r="D9" t="s">
        <v>108</v>
      </c>
      <c r="E9" t="s">
        <v>658</v>
      </c>
      <c r="F9" t="s">
        <v>609</v>
      </c>
      <c r="G9" t="s">
        <v>50</v>
      </c>
      <c r="H9" t="s">
        <v>34</v>
      </c>
      <c r="I9" t="s">
        <v>532</v>
      </c>
      <c r="J9" t="s">
        <v>607</v>
      </c>
      <c r="K9">
        <v>150000</v>
      </c>
      <c r="L9">
        <v>175000</v>
      </c>
      <c r="M9" t="s">
        <v>613</v>
      </c>
      <c r="N9" s="153">
        <v>52</v>
      </c>
      <c r="O9" s="107" t="s">
        <v>659</v>
      </c>
      <c r="P9" t="str">
        <f>_xlfn.CONCAT(A9,VLOOKUP(M9,Ruyxat!Z:AA,2,0))</f>
        <v>A26TOP00406DBD</v>
      </c>
      <c r="Q9" t="str">
        <f t="shared" si="0"/>
        <v>Свитер варот замок мелани 1M21241-1485 LIWALI</v>
      </c>
      <c r="R9" s="107"/>
    </row>
    <row r="10" spans="1:18" x14ac:dyDescent="0.25">
      <c r="A10" t="s">
        <v>663</v>
      </c>
      <c r="B10" t="s">
        <v>476</v>
      </c>
      <c r="C10" t="s">
        <v>472</v>
      </c>
      <c r="D10" t="s">
        <v>108</v>
      </c>
      <c r="E10" t="s">
        <v>658</v>
      </c>
      <c r="F10" t="s">
        <v>609</v>
      </c>
      <c r="G10" t="s">
        <v>50</v>
      </c>
      <c r="H10" t="s">
        <v>34</v>
      </c>
      <c r="I10" t="s">
        <v>532</v>
      </c>
      <c r="J10" t="s">
        <v>607</v>
      </c>
      <c r="K10">
        <v>150000</v>
      </c>
      <c r="L10">
        <v>175000</v>
      </c>
      <c r="M10" t="s">
        <v>661</v>
      </c>
      <c r="N10" s="153">
        <v>30</v>
      </c>
      <c r="O10" s="107" t="s">
        <v>659</v>
      </c>
      <c r="P10" t="str">
        <f>_xlfn.CONCAT(A10,VLOOKUP(M10,Ruyxat!Z:AA,2,0))</f>
        <v>A26TOP00406BNR</v>
      </c>
      <c r="Q10" t="str">
        <f t="shared" si="0"/>
        <v>Свитер варот замок мелани 1M21241-1485 LIWALI</v>
      </c>
      <c r="R10" s="107"/>
    </row>
    <row r="11" spans="1:18" x14ac:dyDescent="0.25">
      <c r="A11" t="s">
        <v>663</v>
      </c>
      <c r="B11" t="s">
        <v>476</v>
      </c>
      <c r="C11" t="s">
        <v>472</v>
      </c>
      <c r="D11" t="s">
        <v>108</v>
      </c>
      <c r="E11" t="s">
        <v>658</v>
      </c>
      <c r="F11" t="s">
        <v>609</v>
      </c>
      <c r="G11" t="s">
        <v>50</v>
      </c>
      <c r="H11" t="s">
        <v>34</v>
      </c>
      <c r="I11" t="s">
        <v>532</v>
      </c>
      <c r="J11" t="s">
        <v>607</v>
      </c>
      <c r="K11">
        <v>150000</v>
      </c>
      <c r="L11">
        <v>175000</v>
      </c>
      <c r="M11" t="s">
        <v>643</v>
      </c>
      <c r="N11" s="153">
        <v>28</v>
      </c>
      <c r="O11" s="107" t="s">
        <v>659</v>
      </c>
      <c r="P11" t="str">
        <f>_xlfn.CONCAT(A11,VLOOKUP(M11,Ruyxat!Z:AA,2,0))</f>
        <v>A26TOP00406DBM</v>
      </c>
      <c r="Q11" t="str">
        <f t="shared" si="0"/>
        <v>Свитер варот замок мелани 1M21241-1485 LIWALI</v>
      </c>
      <c r="R11" s="107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6B1B-4BF6-41DB-9BFD-38713A408720}">
  <dimension ref="A1:BF264"/>
  <sheetViews>
    <sheetView topLeftCell="S40" workbookViewId="0">
      <selection activeCell="V52" sqref="V52"/>
    </sheetView>
  </sheetViews>
  <sheetFormatPr defaultRowHeight="15" x14ac:dyDescent="0.25"/>
  <cols>
    <col min="1" max="1" width="10.140625" bestFit="1" customWidth="1"/>
    <col min="2" max="2" width="23.42578125" customWidth="1"/>
    <col min="3" max="3" width="12.5703125" customWidth="1"/>
    <col min="4" max="4" width="16.5703125" customWidth="1"/>
    <col min="5" max="5" width="13" bestFit="1" customWidth="1"/>
    <col min="6" max="6" width="20.42578125" bestFit="1" customWidth="1"/>
    <col min="7" max="7" width="20.42578125" customWidth="1"/>
    <col min="8" max="8" width="7.7109375" customWidth="1"/>
    <col min="9" max="9" width="10.42578125" bestFit="1" customWidth="1"/>
    <col min="10" max="10" width="29" customWidth="1"/>
    <col min="11" max="11" width="37.5703125" customWidth="1"/>
    <col min="12" max="12" width="21" customWidth="1"/>
    <col min="13" max="13" width="8.5703125" customWidth="1"/>
    <col min="15" max="15" width="22.140625" bestFit="1" customWidth="1"/>
    <col min="16" max="16" width="18.7109375" customWidth="1"/>
    <col min="18" max="18" width="20.42578125" bestFit="1" customWidth="1"/>
    <col min="20" max="20" width="24" bestFit="1" customWidth="1"/>
    <col min="21" max="21" width="11" bestFit="1" customWidth="1"/>
    <col min="22" max="22" width="11.28515625" bestFit="1" customWidth="1"/>
    <col min="23" max="23" width="11.28515625" customWidth="1"/>
    <col min="24" max="24" width="5.28515625" customWidth="1"/>
    <col min="25" max="25" width="18.28515625" customWidth="1"/>
    <col min="26" max="26" width="15.28515625" customWidth="1"/>
    <col min="27" max="27" width="11" customWidth="1"/>
    <col min="28" max="28" width="11.140625" bestFit="1" customWidth="1"/>
    <col min="29" max="29" width="13.7109375" customWidth="1"/>
    <col min="31" max="31" width="12" bestFit="1" customWidth="1"/>
    <col min="32" max="32" width="10.85546875" bestFit="1" customWidth="1"/>
  </cols>
  <sheetData>
    <row r="1" spans="1:31" ht="18.75" x14ac:dyDescent="0.3">
      <c r="A1" s="1" t="s">
        <v>533</v>
      </c>
      <c r="B1" s="2" t="s">
        <v>0</v>
      </c>
      <c r="C1" s="1" t="s">
        <v>534</v>
      </c>
      <c r="D1" s="2" t="s">
        <v>1</v>
      </c>
      <c r="E1" s="1" t="s">
        <v>2</v>
      </c>
      <c r="F1" s="2" t="s">
        <v>3</v>
      </c>
      <c r="G1" s="2" t="s">
        <v>4</v>
      </c>
      <c r="I1" s="3" t="s">
        <v>5</v>
      </c>
      <c r="J1" s="4" t="s">
        <v>6</v>
      </c>
      <c r="K1" s="4" t="s">
        <v>7</v>
      </c>
      <c r="L1" s="4" t="s">
        <v>8</v>
      </c>
      <c r="N1" s="5" t="s">
        <v>9</v>
      </c>
      <c r="O1" s="5" t="s">
        <v>10</v>
      </c>
      <c r="P1" s="6" t="s">
        <v>11</v>
      </c>
      <c r="R1" s="6" t="s">
        <v>12</v>
      </c>
      <c r="T1" s="7" t="s">
        <v>8</v>
      </c>
      <c r="U1" s="7" t="s">
        <v>13</v>
      </c>
      <c r="V1" s="7" t="s">
        <v>14</v>
      </c>
      <c r="W1" s="8"/>
      <c r="X1" s="102" t="s">
        <v>9</v>
      </c>
      <c r="Y1" s="7" t="s">
        <v>15</v>
      </c>
      <c r="Z1" s="7" t="s">
        <v>547</v>
      </c>
      <c r="AA1" s="7" t="s">
        <v>13</v>
      </c>
      <c r="AB1" s="7" t="s">
        <v>14</v>
      </c>
      <c r="AC1" s="7" t="s">
        <v>15</v>
      </c>
      <c r="AE1" s="7" t="s">
        <v>16</v>
      </c>
    </row>
    <row r="2" spans="1:31" x14ac:dyDescent="0.25">
      <c r="A2" s="9" t="s">
        <v>539</v>
      </c>
      <c r="B2" s="10" t="s">
        <v>17</v>
      </c>
      <c r="C2" s="9" t="s">
        <v>535</v>
      </c>
      <c r="D2" s="10" t="s">
        <v>18</v>
      </c>
      <c r="E2" s="9" t="s">
        <v>19</v>
      </c>
      <c r="F2" s="10" t="s">
        <v>20</v>
      </c>
      <c r="G2" s="10" t="s">
        <v>21</v>
      </c>
      <c r="I2">
        <f>IF(ISNUMBER(SEARCH(Asosiy!$B$3,J2)),MAX($I$1:I1)+1,0)</f>
        <v>1</v>
      </c>
      <c r="J2" s="17" t="s">
        <v>461</v>
      </c>
      <c r="K2" s="12" t="s">
        <v>462</v>
      </c>
      <c r="L2" s="12" t="s">
        <v>108</v>
      </c>
      <c r="N2" s="13">
        <v>54</v>
      </c>
      <c r="O2" s="14" t="s">
        <v>23</v>
      </c>
      <c r="P2" s="15" t="s">
        <v>24</v>
      </c>
      <c r="R2" s="15" t="s">
        <v>25</v>
      </c>
      <c r="T2" s="10" t="s">
        <v>22</v>
      </c>
      <c r="U2" s="10" t="s">
        <v>26</v>
      </c>
      <c r="V2" s="10" t="s">
        <v>27</v>
      </c>
      <c r="X2" s="103">
        <v>1</v>
      </c>
      <c r="Y2" s="10" t="s">
        <v>28</v>
      </c>
      <c r="Z2" s="10" t="s">
        <v>548</v>
      </c>
      <c r="AA2" s="10" t="s">
        <v>29</v>
      </c>
      <c r="AB2" s="10" t="s">
        <v>30</v>
      </c>
      <c r="AC2" s="16"/>
      <c r="AD2" t="s">
        <v>548</v>
      </c>
      <c r="AE2" t="s">
        <v>31</v>
      </c>
    </row>
    <row r="3" spans="1:31" x14ac:dyDescent="0.25">
      <c r="A3" s="9" t="s">
        <v>540</v>
      </c>
      <c r="B3" s="10" t="s">
        <v>32</v>
      </c>
      <c r="C3" s="9" t="s">
        <v>536</v>
      </c>
      <c r="D3" s="10" t="s">
        <v>33</v>
      </c>
      <c r="E3" s="9" t="s">
        <v>34</v>
      </c>
      <c r="F3" s="10" t="s">
        <v>35</v>
      </c>
      <c r="G3" s="10" t="s">
        <v>36</v>
      </c>
      <c r="I3">
        <f>IF(ISNUMBER(SEARCH(Asosiy!$B$3,J3)),MAX($I$1:I2)+1,0)</f>
        <v>2</v>
      </c>
      <c r="J3" s="17" t="s">
        <v>463</v>
      </c>
      <c r="K3" s="12" t="s">
        <v>462</v>
      </c>
      <c r="L3" s="12" t="s">
        <v>108</v>
      </c>
      <c r="N3" s="13">
        <v>1</v>
      </c>
      <c r="O3" s="14" t="s">
        <v>37</v>
      </c>
      <c r="P3" s="15" t="s">
        <v>38</v>
      </c>
      <c r="R3" s="15" t="s">
        <v>39</v>
      </c>
      <c r="T3" s="10" t="s">
        <v>40</v>
      </c>
      <c r="U3" s="10" t="s">
        <v>41</v>
      </c>
      <c r="V3" s="10" t="s">
        <v>42</v>
      </c>
      <c r="X3" s="103">
        <f>X2+1</f>
        <v>2</v>
      </c>
      <c r="Y3" s="10" t="s">
        <v>43</v>
      </c>
      <c r="Z3" s="10" t="s">
        <v>549</v>
      </c>
      <c r="AA3" s="10" t="s">
        <v>44</v>
      </c>
      <c r="AB3" s="10" t="s">
        <v>45</v>
      </c>
      <c r="AC3" s="18"/>
      <c r="AD3" t="s">
        <v>549</v>
      </c>
      <c r="AE3" t="s">
        <v>46</v>
      </c>
    </row>
    <row r="4" spans="1:31" x14ac:dyDescent="0.25">
      <c r="A4" s="9" t="s">
        <v>541</v>
      </c>
      <c r="B4" s="10" t="s">
        <v>47</v>
      </c>
      <c r="C4" s="9" t="s">
        <v>537</v>
      </c>
      <c r="D4" s="10" t="s">
        <v>48</v>
      </c>
      <c r="E4" s="9" t="s">
        <v>49</v>
      </c>
      <c r="F4" s="10" t="s">
        <v>50</v>
      </c>
      <c r="G4" s="10" t="s">
        <v>51</v>
      </c>
      <c r="I4">
        <f>IF(ISNUMBER(SEARCH(Asosiy!$B$3,J4)),MAX($I$1:I3)+1,0)</f>
        <v>3</v>
      </c>
      <c r="J4" s="17" t="s">
        <v>464</v>
      </c>
      <c r="K4" s="12" t="s">
        <v>462</v>
      </c>
      <c r="L4" s="12" t="s">
        <v>108</v>
      </c>
      <c r="N4" s="13">
        <v>2</v>
      </c>
      <c r="O4" s="14" t="s">
        <v>52</v>
      </c>
      <c r="P4" s="15" t="s">
        <v>53</v>
      </c>
      <c r="R4" s="15" t="s">
        <v>54</v>
      </c>
      <c r="T4" s="10" t="s">
        <v>55</v>
      </c>
      <c r="U4" s="10" t="s">
        <v>56</v>
      </c>
      <c r="V4" s="10" t="s">
        <v>57</v>
      </c>
      <c r="X4" s="103">
        <f t="shared" ref="X4:X60" si="0">X3+1</f>
        <v>3</v>
      </c>
      <c r="Y4" s="10" t="s">
        <v>58</v>
      </c>
      <c r="Z4" s="10" t="s">
        <v>60</v>
      </c>
      <c r="AA4" s="10" t="s">
        <v>59</v>
      </c>
      <c r="AB4" s="10" t="s">
        <v>60</v>
      </c>
      <c r="AC4" s="19"/>
      <c r="AD4" t="s">
        <v>60</v>
      </c>
      <c r="AE4" s="20" t="s">
        <v>61</v>
      </c>
    </row>
    <row r="5" spans="1:31" x14ac:dyDescent="0.25">
      <c r="A5" s="21" t="s">
        <v>542</v>
      </c>
      <c r="B5" s="10" t="s">
        <v>62</v>
      </c>
      <c r="C5" s="9" t="s">
        <v>538</v>
      </c>
      <c r="D5" s="10" t="s">
        <v>63</v>
      </c>
      <c r="E5" s="9" t="s">
        <v>64</v>
      </c>
      <c r="F5" s="10" t="s">
        <v>65</v>
      </c>
      <c r="G5" s="10" t="s">
        <v>66</v>
      </c>
      <c r="I5">
        <f>IF(ISNUMBER(SEARCH(Asosiy!$B$3,J5)),MAX($I$1:I4)+1,0)</f>
        <v>4</v>
      </c>
      <c r="J5" s="17" t="s">
        <v>465</v>
      </c>
      <c r="K5" s="12" t="s">
        <v>466</v>
      </c>
      <c r="L5" s="12" t="s">
        <v>108</v>
      </c>
      <c r="N5" s="13">
        <v>3</v>
      </c>
      <c r="O5" s="14" t="s">
        <v>67</v>
      </c>
      <c r="P5" s="15" t="s">
        <v>68</v>
      </c>
      <c r="R5" s="15" t="s">
        <v>69</v>
      </c>
      <c r="T5" s="10" t="s">
        <v>70</v>
      </c>
      <c r="U5" s="10" t="s">
        <v>71</v>
      </c>
      <c r="V5" s="10" t="s">
        <v>72</v>
      </c>
      <c r="X5" s="103">
        <f t="shared" si="0"/>
        <v>4</v>
      </c>
      <c r="Y5" s="10" t="s">
        <v>73</v>
      </c>
      <c r="Z5" s="10" t="s">
        <v>552</v>
      </c>
      <c r="AA5" s="10" t="s">
        <v>74</v>
      </c>
      <c r="AB5" s="10" t="s">
        <v>75</v>
      </c>
      <c r="AC5" s="22"/>
      <c r="AD5" t="s">
        <v>552</v>
      </c>
      <c r="AE5" t="s">
        <v>76</v>
      </c>
    </row>
    <row r="6" spans="1:31" x14ac:dyDescent="0.25">
      <c r="A6" s="21"/>
      <c r="B6" s="10" t="s">
        <v>77</v>
      </c>
      <c r="C6" s="9"/>
      <c r="D6" s="10" t="s">
        <v>78</v>
      </c>
      <c r="F6" s="10" t="s">
        <v>79</v>
      </c>
      <c r="G6" s="10" t="s">
        <v>80</v>
      </c>
      <c r="I6">
        <f>IF(ISNUMBER(SEARCH(Asosiy!$B$3,J6)),MAX($I$1:I5)+1,0)</f>
        <v>5</v>
      </c>
      <c r="J6" s="17" t="s">
        <v>467</v>
      </c>
      <c r="K6" s="12" t="s">
        <v>466</v>
      </c>
      <c r="L6" s="12" t="s">
        <v>108</v>
      </c>
      <c r="N6" s="13">
        <v>4</v>
      </c>
      <c r="O6" s="14" t="s">
        <v>83</v>
      </c>
      <c r="P6" s="15" t="s">
        <v>84</v>
      </c>
      <c r="R6" s="15" t="s">
        <v>85</v>
      </c>
      <c r="T6" s="10" t="s">
        <v>86</v>
      </c>
      <c r="U6" s="10" t="s">
        <v>87</v>
      </c>
      <c r="V6" s="10" t="s">
        <v>88</v>
      </c>
      <c r="X6" s="103">
        <f t="shared" si="0"/>
        <v>5</v>
      </c>
      <c r="Y6" s="10" t="s">
        <v>37</v>
      </c>
      <c r="Z6" s="10" t="s">
        <v>550</v>
      </c>
      <c r="AA6" s="10" t="s">
        <v>89</v>
      </c>
      <c r="AB6" s="10" t="s">
        <v>90</v>
      </c>
      <c r="AC6" s="23"/>
      <c r="AD6" t="s">
        <v>550</v>
      </c>
      <c r="AE6" t="s">
        <v>91</v>
      </c>
    </row>
    <row r="7" spans="1:31" x14ac:dyDescent="0.25">
      <c r="A7" s="9"/>
      <c r="B7" s="10" t="s">
        <v>92</v>
      </c>
      <c r="C7" s="9"/>
      <c r="D7" s="10" t="s">
        <v>93</v>
      </c>
      <c r="I7">
        <f>IF(ISNUMBER(SEARCH(Asosiy!$B$3,J7)),MAX($I$1:I6)+1,0)</f>
        <v>6</v>
      </c>
      <c r="J7" s="17" t="s">
        <v>468</v>
      </c>
      <c r="K7" s="12" t="s">
        <v>469</v>
      </c>
      <c r="L7" s="12" t="s">
        <v>108</v>
      </c>
      <c r="N7" s="13">
        <v>5</v>
      </c>
      <c r="O7" s="14" t="s">
        <v>43</v>
      </c>
      <c r="P7" s="15" t="s">
        <v>95</v>
      </c>
      <c r="R7" s="15" t="s">
        <v>96</v>
      </c>
      <c r="T7" s="10" t="s">
        <v>97</v>
      </c>
      <c r="U7" s="10" t="s">
        <v>98</v>
      </c>
      <c r="V7" s="10" t="s">
        <v>99</v>
      </c>
      <c r="X7" s="103">
        <f t="shared" si="0"/>
        <v>6</v>
      </c>
      <c r="Y7" s="10" t="s">
        <v>100</v>
      </c>
      <c r="Z7" s="10" t="s">
        <v>551</v>
      </c>
      <c r="AA7" s="10" t="s">
        <v>101</v>
      </c>
      <c r="AB7" s="10" t="s">
        <v>102</v>
      </c>
      <c r="AC7" s="24"/>
      <c r="AD7" t="s">
        <v>551</v>
      </c>
      <c r="AE7" t="s">
        <v>103</v>
      </c>
    </row>
    <row r="8" spans="1:31" x14ac:dyDescent="0.25">
      <c r="A8" s="25"/>
      <c r="B8" s="10" t="s">
        <v>104</v>
      </c>
      <c r="I8">
        <f>IF(ISNUMBER(SEARCH(Asosiy!$B$3,J8)),MAX($I$1:I7)+1,0)</f>
        <v>7</v>
      </c>
      <c r="J8" s="17" t="s">
        <v>470</v>
      </c>
      <c r="K8" s="12" t="s">
        <v>469</v>
      </c>
      <c r="L8" s="12" t="s">
        <v>108</v>
      </c>
      <c r="N8" s="13">
        <v>6</v>
      </c>
      <c r="O8" s="14" t="s">
        <v>58</v>
      </c>
      <c r="P8" s="15" t="s">
        <v>106</v>
      </c>
      <c r="R8" s="15" t="s">
        <v>107</v>
      </c>
      <c r="T8" s="10" t="s">
        <v>108</v>
      </c>
      <c r="U8" s="10" t="s">
        <v>109</v>
      </c>
      <c r="V8" s="10" t="s">
        <v>110</v>
      </c>
      <c r="X8" s="103">
        <f t="shared" si="0"/>
        <v>7</v>
      </c>
      <c r="Y8" s="10" t="s">
        <v>111</v>
      </c>
      <c r="Z8" s="10" t="s">
        <v>589</v>
      </c>
      <c r="AA8" s="10" t="s">
        <v>112</v>
      </c>
      <c r="AB8" s="10" t="s">
        <v>113</v>
      </c>
      <c r="AC8" s="26"/>
      <c r="AD8" t="s">
        <v>589</v>
      </c>
      <c r="AE8" t="s">
        <v>114</v>
      </c>
    </row>
    <row r="9" spans="1:31" x14ac:dyDescent="0.25">
      <c r="B9" s="10" t="s">
        <v>115</v>
      </c>
      <c r="I9">
        <f>IF(ISNUMBER(SEARCH(Asosiy!$B$3,J9)),MAX($I$1:I8)+1,0)</f>
        <v>8</v>
      </c>
      <c r="J9" s="17" t="s">
        <v>471</v>
      </c>
      <c r="K9" s="12" t="s">
        <v>472</v>
      </c>
      <c r="L9" s="12" t="s">
        <v>108</v>
      </c>
      <c r="N9" s="13">
        <v>7</v>
      </c>
      <c r="O9" s="14" t="s">
        <v>117</v>
      </c>
      <c r="P9" s="15" t="s">
        <v>118</v>
      </c>
      <c r="R9" s="15" t="s">
        <v>119</v>
      </c>
      <c r="T9" s="10" t="s">
        <v>120</v>
      </c>
      <c r="U9" s="10" t="s">
        <v>121</v>
      </c>
      <c r="V9" s="10" t="s">
        <v>122</v>
      </c>
      <c r="X9" s="103">
        <f t="shared" si="0"/>
        <v>8</v>
      </c>
      <c r="Y9" s="10" t="s">
        <v>123</v>
      </c>
      <c r="Z9" s="10" t="s">
        <v>125</v>
      </c>
      <c r="AA9" s="10" t="s">
        <v>124</v>
      </c>
      <c r="AB9" s="10" t="s">
        <v>125</v>
      </c>
      <c r="AC9" s="27"/>
      <c r="AD9" t="s">
        <v>125</v>
      </c>
      <c r="AE9" t="s">
        <v>126</v>
      </c>
    </row>
    <row r="10" spans="1:31" x14ac:dyDescent="0.25">
      <c r="B10" s="10" t="s">
        <v>127</v>
      </c>
      <c r="I10">
        <f>IF(ISNUMBER(SEARCH(Asosiy!$B$3,J10)),MAX($I$1:I9)+1,0)</f>
        <v>9</v>
      </c>
      <c r="J10" s="17" t="s">
        <v>473</v>
      </c>
      <c r="K10" s="12" t="s">
        <v>472</v>
      </c>
      <c r="L10" s="12" t="s">
        <v>108</v>
      </c>
      <c r="N10" s="13">
        <v>8</v>
      </c>
      <c r="O10" s="14" t="s">
        <v>28</v>
      </c>
      <c r="P10" s="15" t="s">
        <v>129</v>
      </c>
      <c r="R10" s="15" t="s">
        <v>130</v>
      </c>
      <c r="T10" s="10" t="s">
        <v>131</v>
      </c>
      <c r="U10" s="10" t="s">
        <v>121</v>
      </c>
      <c r="V10" s="10" t="s">
        <v>122</v>
      </c>
      <c r="X10" s="103">
        <f t="shared" si="0"/>
        <v>9</v>
      </c>
      <c r="Y10" s="10" t="s">
        <v>132</v>
      </c>
      <c r="Z10" s="10" t="s">
        <v>134</v>
      </c>
      <c r="AA10" s="10" t="s">
        <v>133</v>
      </c>
      <c r="AB10" s="10" t="s">
        <v>559</v>
      </c>
      <c r="AC10" s="28"/>
      <c r="AD10" t="s">
        <v>134</v>
      </c>
      <c r="AE10" t="s">
        <v>135</v>
      </c>
    </row>
    <row r="11" spans="1:31" x14ac:dyDescent="0.25">
      <c r="B11" s="10" t="s">
        <v>136</v>
      </c>
      <c r="I11">
        <f>IF(ISNUMBER(SEARCH(Asosiy!$B$3,J11)),MAX($I$1:I10)+1,0)</f>
        <v>10</v>
      </c>
      <c r="J11" s="17" t="s">
        <v>474</v>
      </c>
      <c r="K11" s="12" t="s">
        <v>472</v>
      </c>
      <c r="L11" s="12" t="s">
        <v>108</v>
      </c>
      <c r="N11" s="13">
        <v>9</v>
      </c>
      <c r="O11" s="14" t="s">
        <v>138</v>
      </c>
      <c r="P11" s="15" t="s">
        <v>139</v>
      </c>
      <c r="R11" s="15" t="s">
        <v>140</v>
      </c>
      <c r="T11" s="10" t="s">
        <v>141</v>
      </c>
      <c r="U11" s="10" t="s">
        <v>121</v>
      </c>
      <c r="V11" s="10" t="s">
        <v>122</v>
      </c>
      <c r="X11" s="103">
        <f t="shared" si="0"/>
        <v>10</v>
      </c>
      <c r="Y11" s="10" t="s">
        <v>142</v>
      </c>
      <c r="Z11" s="10" t="s">
        <v>558</v>
      </c>
      <c r="AA11" s="10" t="s">
        <v>143</v>
      </c>
      <c r="AB11" s="10" t="s">
        <v>144</v>
      </c>
      <c r="AC11" s="29"/>
      <c r="AD11" t="s">
        <v>558</v>
      </c>
      <c r="AE11" t="s">
        <v>145</v>
      </c>
    </row>
    <row r="12" spans="1:31" x14ac:dyDescent="0.25">
      <c r="B12" s="10" t="s">
        <v>146</v>
      </c>
      <c r="I12">
        <f>IF(ISNUMBER(SEARCH(Asosiy!$B$3,J12)),MAX($I$1:I11)+1,0)</f>
        <v>11</v>
      </c>
      <c r="J12" s="17" t="s">
        <v>475</v>
      </c>
      <c r="K12" s="12" t="s">
        <v>472</v>
      </c>
      <c r="L12" s="12" t="s">
        <v>108</v>
      </c>
      <c r="N12" s="13">
        <v>10</v>
      </c>
      <c r="O12" s="14" t="s">
        <v>73</v>
      </c>
      <c r="P12" s="15" t="s">
        <v>148</v>
      </c>
      <c r="R12" s="15" t="s">
        <v>149</v>
      </c>
      <c r="T12" s="10" t="s">
        <v>150</v>
      </c>
      <c r="U12" s="10" t="s">
        <v>121</v>
      </c>
      <c r="V12" s="10" t="s">
        <v>122</v>
      </c>
      <c r="X12" s="103">
        <f t="shared" si="0"/>
        <v>11</v>
      </c>
      <c r="Y12" s="10" t="s">
        <v>151</v>
      </c>
      <c r="Z12" s="10" t="s">
        <v>555</v>
      </c>
      <c r="AA12" s="10" t="s">
        <v>152</v>
      </c>
      <c r="AB12" s="10" t="s">
        <v>153</v>
      </c>
      <c r="AC12" s="30"/>
      <c r="AD12" t="s">
        <v>555</v>
      </c>
      <c r="AE12" t="s">
        <v>154</v>
      </c>
    </row>
    <row r="13" spans="1:31" x14ac:dyDescent="0.25">
      <c r="B13" s="10" t="s">
        <v>155</v>
      </c>
      <c r="I13">
        <f>IF(ISNUMBER(SEARCH(Asosiy!$B$3,J13)),MAX($I$1:I12)+1,0)</f>
        <v>12</v>
      </c>
      <c r="J13" s="17" t="s">
        <v>476</v>
      </c>
      <c r="K13" s="12" t="s">
        <v>472</v>
      </c>
      <c r="L13" s="12" t="s">
        <v>108</v>
      </c>
      <c r="N13" s="13">
        <v>11</v>
      </c>
      <c r="O13" s="14" t="s">
        <v>157</v>
      </c>
      <c r="P13" s="15" t="s">
        <v>158</v>
      </c>
      <c r="R13" s="15" t="s">
        <v>159</v>
      </c>
      <c r="T13" s="10" t="s">
        <v>160</v>
      </c>
      <c r="U13" s="10" t="s">
        <v>121</v>
      </c>
      <c r="V13" s="10" t="s">
        <v>122</v>
      </c>
      <c r="X13" s="103">
        <f t="shared" si="0"/>
        <v>12</v>
      </c>
      <c r="Y13" s="10" t="s">
        <v>161</v>
      </c>
      <c r="Z13" s="10" t="s">
        <v>590</v>
      </c>
      <c r="AA13" s="10" t="s">
        <v>162</v>
      </c>
      <c r="AB13" s="10" t="s">
        <v>163</v>
      </c>
      <c r="AC13" s="31"/>
      <c r="AD13" t="s">
        <v>590</v>
      </c>
      <c r="AE13" t="s">
        <v>164</v>
      </c>
    </row>
    <row r="14" spans="1:31" x14ac:dyDescent="0.25">
      <c r="B14" s="10" t="s">
        <v>165</v>
      </c>
      <c r="I14">
        <f>IF(ISNUMBER(SEARCH(Asosiy!$B$3,J14)),MAX($I$1:I13)+1,0)</f>
        <v>13</v>
      </c>
      <c r="J14" s="17" t="s">
        <v>526</v>
      </c>
      <c r="K14" s="12" t="s">
        <v>472</v>
      </c>
      <c r="L14" s="12" t="s">
        <v>108</v>
      </c>
      <c r="N14" s="13">
        <v>12</v>
      </c>
      <c r="O14" s="14" t="s">
        <v>142</v>
      </c>
      <c r="P14" s="15" t="s">
        <v>167</v>
      </c>
      <c r="R14" s="15" t="s">
        <v>168</v>
      </c>
      <c r="T14" s="10" t="s">
        <v>169</v>
      </c>
      <c r="U14" s="10" t="s">
        <v>121</v>
      </c>
      <c r="V14" s="10" t="s">
        <v>122</v>
      </c>
      <c r="X14" s="103">
        <f t="shared" si="0"/>
        <v>13</v>
      </c>
      <c r="Y14" s="10" t="s">
        <v>170</v>
      </c>
      <c r="Z14" s="10" t="s">
        <v>556</v>
      </c>
      <c r="AA14" s="10" t="s">
        <v>557</v>
      </c>
      <c r="AB14" s="10" t="s">
        <v>171</v>
      </c>
      <c r="AC14" s="32"/>
      <c r="AD14" t="s">
        <v>556</v>
      </c>
      <c r="AE14" t="s">
        <v>172</v>
      </c>
    </row>
    <row r="15" spans="1:31" x14ac:dyDescent="0.25">
      <c r="B15" s="10" t="s">
        <v>173</v>
      </c>
      <c r="I15">
        <f>IF(ISNUMBER(SEARCH(Asosiy!$B$3,J15)),MAX($I$1:I14)+1,0)</f>
        <v>14</v>
      </c>
      <c r="J15" s="17" t="s">
        <v>477</v>
      </c>
      <c r="K15" s="12" t="s">
        <v>472</v>
      </c>
      <c r="L15" s="12" t="s">
        <v>108</v>
      </c>
      <c r="N15" s="13">
        <v>13</v>
      </c>
      <c r="O15" s="14" t="s">
        <v>151</v>
      </c>
      <c r="P15" s="15" t="s">
        <v>175</v>
      </c>
      <c r="R15" s="15" t="s">
        <v>176</v>
      </c>
      <c r="T15" s="10" t="s">
        <v>177</v>
      </c>
      <c r="U15" s="10" t="s">
        <v>121</v>
      </c>
      <c r="V15" s="10" t="s">
        <v>122</v>
      </c>
      <c r="X15" s="103">
        <f t="shared" si="0"/>
        <v>14</v>
      </c>
      <c r="Y15" s="10" t="s">
        <v>178</v>
      </c>
      <c r="Z15" s="10" t="s">
        <v>180</v>
      </c>
      <c r="AA15" s="10" t="s">
        <v>179</v>
      </c>
      <c r="AB15" s="10" t="s">
        <v>180</v>
      </c>
      <c r="AC15" s="33"/>
      <c r="AD15" t="s">
        <v>180</v>
      </c>
      <c r="AE15" t="s">
        <v>181</v>
      </c>
    </row>
    <row r="16" spans="1:31" x14ac:dyDescent="0.25">
      <c r="B16" s="10" t="s">
        <v>182</v>
      </c>
      <c r="I16">
        <f>IF(ISNUMBER(SEARCH(Asosiy!$B$3,J16)),MAX($I$1:I15)+1,0)</f>
        <v>15</v>
      </c>
      <c r="J16" s="17" t="s">
        <v>482</v>
      </c>
      <c r="K16" s="12" t="s">
        <v>472</v>
      </c>
      <c r="L16" s="12" t="s">
        <v>108</v>
      </c>
      <c r="N16" s="13">
        <v>14</v>
      </c>
      <c r="O16" s="14" t="s">
        <v>184</v>
      </c>
      <c r="P16" s="15" t="s">
        <v>185</v>
      </c>
      <c r="R16" s="15" t="s">
        <v>186</v>
      </c>
      <c r="T16" s="10" t="s">
        <v>187</v>
      </c>
      <c r="U16" s="10" t="s">
        <v>121</v>
      </c>
      <c r="V16" s="10" t="s">
        <v>122</v>
      </c>
      <c r="X16" s="103">
        <f t="shared" si="0"/>
        <v>15</v>
      </c>
      <c r="Y16" s="10" t="s">
        <v>188</v>
      </c>
      <c r="Z16" s="10" t="s">
        <v>554</v>
      </c>
      <c r="AA16" s="10" t="s">
        <v>189</v>
      </c>
      <c r="AB16" s="10" t="s">
        <v>190</v>
      </c>
      <c r="AC16" s="34"/>
      <c r="AD16" t="s">
        <v>554</v>
      </c>
      <c r="AE16" t="s">
        <v>191</v>
      </c>
    </row>
    <row r="17" spans="1:31" x14ac:dyDescent="0.25">
      <c r="I17">
        <f>IF(ISNUMBER(SEARCH(Asosiy!$B$3,J17)),MAX($I$1:I16)+1,0)</f>
        <v>16</v>
      </c>
      <c r="J17" s="17" t="s">
        <v>478</v>
      </c>
      <c r="K17" s="12" t="s">
        <v>479</v>
      </c>
      <c r="L17" s="12" t="s">
        <v>108</v>
      </c>
      <c r="N17" s="13">
        <v>15</v>
      </c>
      <c r="O17" s="14" t="s">
        <v>192</v>
      </c>
      <c r="P17" s="15" t="s">
        <v>193</v>
      </c>
      <c r="R17" s="15" t="s">
        <v>194</v>
      </c>
      <c r="T17" s="12"/>
      <c r="X17" s="103">
        <f t="shared" si="0"/>
        <v>16</v>
      </c>
      <c r="Y17" s="10" t="s">
        <v>195</v>
      </c>
      <c r="Z17" s="10" t="s">
        <v>591</v>
      </c>
      <c r="AA17" s="10" t="s">
        <v>196</v>
      </c>
      <c r="AB17" s="10" t="s">
        <v>197</v>
      </c>
      <c r="AC17" s="35"/>
      <c r="AD17" t="s">
        <v>591</v>
      </c>
      <c r="AE17" t="s">
        <v>198</v>
      </c>
    </row>
    <row r="18" spans="1:31" x14ac:dyDescent="0.25">
      <c r="I18">
        <f>IF(ISNUMBER(SEARCH(Asosiy!$B$3,J18)),MAX($I$1:I17)+1,0)</f>
        <v>17</v>
      </c>
      <c r="J18" s="17" t="s">
        <v>480</v>
      </c>
      <c r="K18" s="12" t="s">
        <v>479</v>
      </c>
      <c r="L18" s="12" t="s">
        <v>108</v>
      </c>
      <c r="N18" s="13">
        <v>16</v>
      </c>
      <c r="O18" s="14" t="s">
        <v>199</v>
      </c>
      <c r="P18" s="15" t="s">
        <v>200</v>
      </c>
      <c r="T18" s="12"/>
      <c r="X18" s="103">
        <f t="shared" si="0"/>
        <v>17</v>
      </c>
      <c r="Y18" s="10" t="s">
        <v>201</v>
      </c>
      <c r="Z18" s="10" t="s">
        <v>553</v>
      </c>
      <c r="AA18" s="10" t="s">
        <v>206</v>
      </c>
      <c r="AB18" s="10" t="s">
        <v>202</v>
      </c>
      <c r="AC18" s="36"/>
      <c r="AD18" t="s">
        <v>553</v>
      </c>
      <c r="AE18" t="s">
        <v>203</v>
      </c>
    </row>
    <row r="19" spans="1:31" x14ac:dyDescent="0.25">
      <c r="I19">
        <f>IF(ISNUMBER(SEARCH(Asosiy!$B$3,J19)),MAX($I$1:I18)+1,0)</f>
        <v>18</v>
      </c>
      <c r="J19" s="17" t="s">
        <v>481</v>
      </c>
      <c r="K19" s="12" t="s">
        <v>479</v>
      </c>
      <c r="L19" s="12" t="s">
        <v>108</v>
      </c>
      <c r="N19" s="13">
        <v>17</v>
      </c>
      <c r="O19" s="14" t="s">
        <v>161</v>
      </c>
      <c r="P19" s="15" t="s">
        <v>204</v>
      </c>
      <c r="T19" s="12"/>
      <c r="X19" s="103">
        <f t="shared" si="0"/>
        <v>18</v>
      </c>
      <c r="Y19" s="10" t="s">
        <v>544</v>
      </c>
      <c r="Z19" s="10" t="s">
        <v>545</v>
      </c>
      <c r="AA19" s="10" t="s">
        <v>546</v>
      </c>
      <c r="AB19" s="10" t="s">
        <v>545</v>
      </c>
      <c r="AC19" s="108"/>
      <c r="AD19" t="s">
        <v>545</v>
      </c>
      <c r="AE19" t="s">
        <v>207</v>
      </c>
    </row>
    <row r="20" spans="1:31" x14ac:dyDescent="0.25">
      <c r="I20">
        <f>IF(ISNUMBER(SEARCH(Asosiy!$B$3,J20)),MAX($I$1:I19)+1,0)</f>
        <v>19</v>
      </c>
      <c r="J20" s="17" t="s">
        <v>484</v>
      </c>
      <c r="K20" s="12" t="s">
        <v>483</v>
      </c>
      <c r="L20" s="12" t="s">
        <v>108</v>
      </c>
      <c r="N20" s="13">
        <v>18</v>
      </c>
      <c r="O20" s="14" t="s">
        <v>208</v>
      </c>
      <c r="P20" s="15" t="s">
        <v>209</v>
      </c>
      <c r="T20" s="12"/>
      <c r="X20" s="103">
        <f t="shared" si="0"/>
        <v>19</v>
      </c>
      <c r="Y20" s="10" t="s">
        <v>205</v>
      </c>
      <c r="Z20" s="10" t="s">
        <v>592</v>
      </c>
      <c r="AA20" s="10" t="s">
        <v>588</v>
      </c>
      <c r="AB20" s="10" t="s">
        <v>587</v>
      </c>
      <c r="AC20" s="37"/>
      <c r="AD20" t="s">
        <v>592</v>
      </c>
      <c r="AE20" t="s">
        <v>213</v>
      </c>
    </row>
    <row r="21" spans="1:31" x14ac:dyDescent="0.25">
      <c r="I21">
        <f>IF(ISNUMBER(SEARCH(Asosiy!$B$3,J21)),MAX($I$1:I20)+1,0)</f>
        <v>20</v>
      </c>
      <c r="J21" s="17" t="s">
        <v>527</v>
      </c>
      <c r="K21" s="12" t="s">
        <v>483</v>
      </c>
      <c r="L21" s="12" t="s">
        <v>108</v>
      </c>
      <c r="N21" s="13">
        <v>19</v>
      </c>
      <c r="O21" s="14" t="s">
        <v>214</v>
      </c>
      <c r="P21" s="15" t="s">
        <v>215</v>
      </c>
      <c r="T21" s="12"/>
      <c r="X21" s="103">
        <f t="shared" si="0"/>
        <v>20</v>
      </c>
      <c r="Y21" s="10" t="s">
        <v>210</v>
      </c>
      <c r="Z21" s="10" t="s">
        <v>593</v>
      </c>
      <c r="AA21" s="10" t="s">
        <v>211</v>
      </c>
      <c r="AB21" s="10" t="s">
        <v>212</v>
      </c>
      <c r="AC21" s="38"/>
      <c r="AD21" t="s">
        <v>593</v>
      </c>
      <c r="AE21" t="s">
        <v>219</v>
      </c>
    </row>
    <row r="22" spans="1:31" x14ac:dyDescent="0.25">
      <c r="B22" t="s">
        <v>220</v>
      </c>
      <c r="I22">
        <f>IF(ISNUMBER(SEARCH(Asosiy!$B$3,J22)),MAX($I$1:I21)+1,0)</f>
        <v>21</v>
      </c>
      <c r="J22" s="17" t="s">
        <v>485</v>
      </c>
      <c r="K22" s="12" t="s">
        <v>483</v>
      </c>
      <c r="L22" s="12" t="s">
        <v>108</v>
      </c>
      <c r="N22" s="13">
        <v>20</v>
      </c>
      <c r="O22" s="14" t="s">
        <v>221</v>
      </c>
      <c r="P22" s="15" t="s">
        <v>222</v>
      </c>
      <c r="T22" s="12"/>
      <c r="X22" s="103">
        <f t="shared" si="0"/>
        <v>21</v>
      </c>
      <c r="Y22" s="10" t="s">
        <v>216</v>
      </c>
      <c r="Z22" s="10" t="s">
        <v>594</v>
      </c>
      <c r="AA22" s="10" t="s">
        <v>217</v>
      </c>
      <c r="AB22" s="10" t="s">
        <v>218</v>
      </c>
      <c r="AC22" s="39"/>
      <c r="AD22" t="s">
        <v>594</v>
      </c>
      <c r="AE22" t="s">
        <v>225</v>
      </c>
    </row>
    <row r="23" spans="1:31" x14ac:dyDescent="0.25">
      <c r="A23">
        <v>1</v>
      </c>
      <c r="B23" t="str">
        <f>_xlfn.IFNA(VLOOKUP(A23,$I$2:$J$264,2,0),"")</f>
        <v>Блузка</v>
      </c>
      <c r="I23">
        <f>IF(ISNUMBER(SEARCH(Asosiy!$B$3,J23)),MAX($I$1:I22)+1,0)</f>
        <v>22</v>
      </c>
      <c r="J23" s="17" t="s">
        <v>486</v>
      </c>
      <c r="K23" s="12" t="s">
        <v>483</v>
      </c>
      <c r="L23" s="12" t="s">
        <v>108</v>
      </c>
      <c r="N23" s="13">
        <v>21</v>
      </c>
      <c r="O23" s="14" t="s">
        <v>227</v>
      </c>
      <c r="P23" s="15" t="s">
        <v>228</v>
      </c>
      <c r="T23" s="12"/>
      <c r="X23" s="103">
        <f t="shared" si="0"/>
        <v>22</v>
      </c>
      <c r="Y23" s="10" t="s">
        <v>214</v>
      </c>
      <c r="Z23" s="10" t="s">
        <v>595</v>
      </c>
      <c r="AA23" s="10" t="s">
        <v>223</v>
      </c>
      <c r="AB23" s="10" t="s">
        <v>224</v>
      </c>
      <c r="AC23" s="40"/>
      <c r="AD23" t="s">
        <v>595</v>
      </c>
      <c r="AE23" t="s">
        <v>232</v>
      </c>
    </row>
    <row r="24" spans="1:31" x14ac:dyDescent="0.25">
      <c r="A24">
        <v>2</v>
      </c>
      <c r="B24" t="str">
        <f>_xlfn.IFNA(VLOOKUP(A24,$I$2:$J$264,2,0),"")</f>
        <v>Кофта</v>
      </c>
      <c r="I24">
        <f>IF(ISNUMBER(SEARCH(Asosiy!$B$3,J24)),MAX($I$1:I23)+1,0)</f>
        <v>23</v>
      </c>
      <c r="J24" s="17" t="s">
        <v>487</v>
      </c>
      <c r="K24" s="12" t="s">
        <v>483</v>
      </c>
      <c r="L24" s="12" t="s">
        <v>108</v>
      </c>
      <c r="N24" s="13">
        <v>22</v>
      </c>
      <c r="O24" s="14" t="s">
        <v>170</v>
      </c>
      <c r="P24" s="15" t="s">
        <v>234</v>
      </c>
      <c r="T24" s="12"/>
      <c r="X24" s="103">
        <f t="shared" si="0"/>
        <v>23</v>
      </c>
      <c r="Y24" s="10" t="s">
        <v>229</v>
      </c>
      <c r="Z24" s="10" t="s">
        <v>596</v>
      </c>
      <c r="AA24" s="10" t="s">
        <v>230</v>
      </c>
      <c r="AB24" s="10" t="s">
        <v>231</v>
      </c>
      <c r="AC24" s="41"/>
      <c r="AD24" t="s">
        <v>596</v>
      </c>
      <c r="AE24" t="s">
        <v>238</v>
      </c>
    </row>
    <row r="25" spans="1:31" x14ac:dyDescent="0.25">
      <c r="J25" s="17"/>
      <c r="K25" s="12"/>
      <c r="L25" s="12"/>
      <c r="N25" s="13"/>
      <c r="O25" s="14"/>
      <c r="P25" s="15"/>
      <c r="T25" s="12"/>
      <c r="X25" s="103">
        <f t="shared" si="0"/>
        <v>24</v>
      </c>
      <c r="Y25" s="10" t="s">
        <v>560</v>
      </c>
      <c r="Z25" s="10" t="s">
        <v>597</v>
      </c>
      <c r="AA25" s="10" t="s">
        <v>578</v>
      </c>
      <c r="AB25" s="10" t="s">
        <v>566</v>
      </c>
      <c r="AC25" s="109"/>
      <c r="AD25" t="s">
        <v>597</v>
      </c>
    </row>
    <row r="26" spans="1:31" x14ac:dyDescent="0.25">
      <c r="J26" s="17"/>
      <c r="K26" s="12"/>
      <c r="L26" s="12"/>
      <c r="N26" s="13"/>
      <c r="O26" s="14"/>
      <c r="P26" s="15"/>
      <c r="T26" s="12"/>
      <c r="X26" s="103">
        <f t="shared" si="0"/>
        <v>25</v>
      </c>
      <c r="Y26" s="10" t="s">
        <v>561</v>
      </c>
      <c r="Z26" s="10" t="s">
        <v>598</v>
      </c>
      <c r="AA26" s="10" t="s">
        <v>579</v>
      </c>
      <c r="AB26" s="10" t="s">
        <v>567</v>
      </c>
      <c r="AC26" s="110"/>
      <c r="AD26" t="s">
        <v>598</v>
      </c>
    </row>
    <row r="27" spans="1:31" x14ac:dyDescent="0.25">
      <c r="J27" s="17"/>
      <c r="K27" s="12"/>
      <c r="L27" s="12"/>
      <c r="N27" s="13"/>
      <c r="O27" s="14"/>
      <c r="P27" s="15"/>
      <c r="T27" s="12"/>
      <c r="X27" s="103">
        <f t="shared" si="0"/>
        <v>26</v>
      </c>
      <c r="Y27" s="10" t="s">
        <v>562</v>
      </c>
      <c r="Z27" s="10" t="s">
        <v>599</v>
      </c>
      <c r="AA27" s="10" t="s">
        <v>580</v>
      </c>
      <c r="AB27" s="10" t="s">
        <v>568</v>
      </c>
      <c r="AC27" s="114"/>
      <c r="AD27" t="s">
        <v>599</v>
      </c>
    </row>
    <row r="28" spans="1:31" x14ac:dyDescent="0.25">
      <c r="J28" s="17"/>
      <c r="K28" s="12"/>
      <c r="L28" s="12"/>
      <c r="N28" s="13"/>
      <c r="O28" s="14"/>
      <c r="P28" s="15"/>
      <c r="T28" s="12"/>
      <c r="X28" s="103">
        <f t="shared" si="0"/>
        <v>27</v>
      </c>
      <c r="Y28" s="10" t="s">
        <v>563</v>
      </c>
      <c r="Z28" s="10" t="s">
        <v>600</v>
      </c>
      <c r="AA28" s="10" t="s">
        <v>581</v>
      </c>
      <c r="AB28" s="10" t="s">
        <v>569</v>
      </c>
      <c r="AC28" s="111"/>
      <c r="AD28" t="s">
        <v>600</v>
      </c>
    </row>
    <row r="29" spans="1:31" x14ac:dyDescent="0.25">
      <c r="J29" s="17"/>
      <c r="K29" s="12"/>
      <c r="L29" s="12"/>
      <c r="N29" s="13"/>
      <c r="O29" s="14"/>
      <c r="P29" s="15"/>
      <c r="T29" s="12"/>
      <c r="X29" s="103">
        <f t="shared" si="0"/>
        <v>28</v>
      </c>
      <c r="Y29" s="10" t="s">
        <v>564</v>
      </c>
      <c r="Z29" s="10" t="s">
        <v>601</v>
      </c>
      <c r="AA29" s="10" t="s">
        <v>582</v>
      </c>
      <c r="AB29" s="10" t="s">
        <v>570</v>
      </c>
      <c r="AC29" s="112"/>
      <c r="AD29" t="s">
        <v>601</v>
      </c>
    </row>
    <row r="30" spans="1:31" x14ac:dyDescent="0.25">
      <c r="J30" s="17"/>
      <c r="K30" s="12"/>
      <c r="L30" s="12"/>
      <c r="N30" s="13"/>
      <c r="O30" s="14"/>
      <c r="P30" s="15"/>
      <c r="T30" s="12"/>
      <c r="X30" s="103">
        <f t="shared" si="0"/>
        <v>29</v>
      </c>
      <c r="Y30" s="10" t="s">
        <v>565</v>
      </c>
      <c r="Z30" s="10" t="s">
        <v>602</v>
      </c>
      <c r="AA30" s="10" t="s">
        <v>583</v>
      </c>
      <c r="AB30" s="10" t="s">
        <v>571</v>
      </c>
      <c r="AC30" s="113"/>
      <c r="AD30" t="s">
        <v>602</v>
      </c>
    </row>
    <row r="31" spans="1:31" x14ac:dyDescent="0.25">
      <c r="J31" s="17"/>
      <c r="K31" s="12"/>
      <c r="L31" s="12"/>
      <c r="N31" s="13"/>
      <c r="O31" s="14"/>
      <c r="P31" s="15"/>
      <c r="T31" s="12"/>
      <c r="X31" s="103">
        <f t="shared" si="0"/>
        <v>30</v>
      </c>
      <c r="Y31" s="10" t="s">
        <v>572</v>
      </c>
      <c r="Z31" s="10" t="s">
        <v>603</v>
      </c>
      <c r="AA31" s="10" t="s">
        <v>584</v>
      </c>
      <c r="AB31" s="10" t="s">
        <v>574</v>
      </c>
      <c r="AC31" s="115"/>
      <c r="AD31" t="s">
        <v>603</v>
      </c>
    </row>
    <row r="32" spans="1:31" x14ac:dyDescent="0.25">
      <c r="J32" s="17"/>
      <c r="K32" s="12"/>
      <c r="L32" s="12"/>
      <c r="N32" s="13"/>
      <c r="O32" s="14"/>
      <c r="P32" s="15"/>
      <c r="T32" s="12"/>
      <c r="X32" s="103">
        <f t="shared" si="0"/>
        <v>31</v>
      </c>
      <c r="Y32" s="10" t="s">
        <v>573</v>
      </c>
      <c r="Z32" s="10" t="s">
        <v>604</v>
      </c>
      <c r="AA32" s="10" t="s">
        <v>585</v>
      </c>
      <c r="AB32" s="10" t="s">
        <v>575</v>
      </c>
      <c r="AC32" s="116"/>
      <c r="AD32" t="s">
        <v>604</v>
      </c>
    </row>
    <row r="33" spans="10:29" x14ac:dyDescent="0.25">
      <c r="J33" s="17"/>
      <c r="K33" s="12"/>
      <c r="L33" s="12"/>
      <c r="N33" s="13"/>
      <c r="O33" s="14"/>
      <c r="P33" s="15"/>
      <c r="T33" s="12"/>
      <c r="X33" s="103">
        <f t="shared" si="0"/>
        <v>32</v>
      </c>
      <c r="Y33" s="10"/>
      <c r="Z33" s="10" t="s">
        <v>612</v>
      </c>
      <c r="AA33" s="10" t="s">
        <v>614</v>
      </c>
      <c r="AB33" s="10"/>
      <c r="AC33" s="116"/>
    </row>
    <row r="34" spans="10:29" x14ac:dyDescent="0.25">
      <c r="J34" s="17"/>
      <c r="K34" s="12"/>
      <c r="L34" s="12"/>
      <c r="N34" s="13"/>
      <c r="O34" s="14"/>
      <c r="P34" s="15"/>
      <c r="T34" s="12"/>
      <c r="X34" s="103">
        <f t="shared" si="0"/>
        <v>33</v>
      </c>
      <c r="Y34" s="10"/>
      <c r="Z34" s="10" t="s">
        <v>613</v>
      </c>
      <c r="AA34" s="10" t="s">
        <v>615</v>
      </c>
      <c r="AB34" s="10"/>
      <c r="AC34" s="116"/>
    </row>
    <row r="35" spans="10:29" x14ac:dyDescent="0.25">
      <c r="J35" s="17"/>
      <c r="K35" s="12"/>
      <c r="L35" s="12"/>
      <c r="N35" s="13"/>
      <c r="O35" s="14"/>
      <c r="P35" s="15"/>
      <c r="T35" s="12"/>
      <c r="X35" s="103">
        <f t="shared" si="0"/>
        <v>34</v>
      </c>
      <c r="Y35" s="10"/>
      <c r="Z35" s="10" t="s">
        <v>617</v>
      </c>
      <c r="AA35" s="10" t="s">
        <v>618</v>
      </c>
      <c r="AB35" s="10"/>
      <c r="AC35" s="116"/>
    </row>
    <row r="36" spans="10:29" x14ac:dyDescent="0.25">
      <c r="J36" s="17"/>
      <c r="K36" s="12"/>
      <c r="L36" s="12"/>
      <c r="N36" s="13"/>
      <c r="O36" s="14"/>
      <c r="P36" s="15"/>
      <c r="T36" s="12"/>
      <c r="X36" s="103">
        <f t="shared" si="0"/>
        <v>35</v>
      </c>
      <c r="Y36" s="10"/>
      <c r="Z36" s="10" t="s">
        <v>621</v>
      </c>
      <c r="AA36" s="10" t="s">
        <v>623</v>
      </c>
      <c r="AB36" s="10"/>
      <c r="AC36" s="116"/>
    </row>
    <row r="37" spans="10:29" x14ac:dyDescent="0.25">
      <c r="J37" s="17"/>
      <c r="K37" s="12"/>
      <c r="L37" s="12"/>
      <c r="N37" s="13"/>
      <c r="O37" s="14"/>
      <c r="P37" s="15"/>
      <c r="T37" s="12"/>
      <c r="X37" s="103">
        <f t="shared" si="0"/>
        <v>36</v>
      </c>
      <c r="Y37" s="10"/>
      <c r="Z37" s="10" t="s">
        <v>620</v>
      </c>
      <c r="AA37" s="10" t="s">
        <v>624</v>
      </c>
      <c r="AB37" s="10"/>
      <c r="AC37" s="116"/>
    </row>
    <row r="38" spans="10:29" x14ac:dyDescent="0.25">
      <c r="J38" s="17"/>
      <c r="K38" s="12"/>
      <c r="L38" s="12"/>
      <c r="N38" s="13"/>
      <c r="O38" s="14"/>
      <c r="P38" s="15"/>
      <c r="T38" s="12"/>
      <c r="X38" s="103">
        <f t="shared" si="0"/>
        <v>37</v>
      </c>
      <c r="Y38" s="10"/>
      <c r="Z38" s="10" t="s">
        <v>622</v>
      </c>
      <c r="AA38" s="10" t="s">
        <v>625</v>
      </c>
      <c r="AB38" s="10"/>
      <c r="AC38" s="116"/>
    </row>
    <row r="39" spans="10:29" x14ac:dyDescent="0.25">
      <c r="J39" s="17"/>
      <c r="K39" s="12"/>
      <c r="L39" s="12"/>
      <c r="N39" s="13"/>
      <c r="O39" s="14"/>
      <c r="P39" s="15"/>
      <c r="T39" s="12"/>
      <c r="X39" s="103">
        <f t="shared" si="0"/>
        <v>38</v>
      </c>
      <c r="Y39" s="10"/>
      <c r="Z39" s="10" t="s">
        <v>626</v>
      </c>
      <c r="AA39" s="10" t="s">
        <v>629</v>
      </c>
      <c r="AB39" s="10"/>
      <c r="AC39" s="116"/>
    </row>
    <row r="40" spans="10:29" x14ac:dyDescent="0.25">
      <c r="J40" s="17"/>
      <c r="K40" s="12"/>
      <c r="L40" s="12"/>
      <c r="N40" s="13"/>
      <c r="O40" s="14"/>
      <c r="P40" s="15"/>
      <c r="T40" s="12"/>
      <c r="X40" s="103">
        <f t="shared" si="0"/>
        <v>39</v>
      </c>
      <c r="Y40" s="10"/>
      <c r="Z40" s="10" t="s">
        <v>627</v>
      </c>
      <c r="AA40" s="10" t="s">
        <v>630</v>
      </c>
      <c r="AB40" s="10"/>
      <c r="AC40" s="116"/>
    </row>
    <row r="41" spans="10:29" x14ac:dyDescent="0.25">
      <c r="J41" s="17"/>
      <c r="K41" s="12"/>
      <c r="L41" s="12"/>
      <c r="N41" s="13"/>
      <c r="O41" s="14"/>
      <c r="P41" s="15"/>
      <c r="T41" s="12"/>
      <c r="X41" s="103">
        <f t="shared" si="0"/>
        <v>40</v>
      </c>
      <c r="Y41" s="10"/>
      <c r="Z41" s="10" t="s">
        <v>628</v>
      </c>
      <c r="AA41" s="10" t="s">
        <v>631</v>
      </c>
      <c r="AB41" s="10"/>
      <c r="AC41" s="116"/>
    </row>
    <row r="42" spans="10:29" x14ac:dyDescent="0.25">
      <c r="J42" s="17"/>
      <c r="K42" s="12"/>
      <c r="L42" s="12"/>
      <c r="N42" s="13"/>
      <c r="O42" s="14"/>
      <c r="P42" s="15"/>
      <c r="T42" s="12"/>
      <c r="X42" s="103">
        <f t="shared" si="0"/>
        <v>41</v>
      </c>
      <c r="Y42" s="10"/>
      <c r="Z42" s="10" t="s">
        <v>632</v>
      </c>
      <c r="AA42" s="10" t="s">
        <v>633</v>
      </c>
      <c r="AB42" s="10"/>
      <c r="AC42" s="116"/>
    </row>
    <row r="43" spans="10:29" x14ac:dyDescent="0.25">
      <c r="J43" s="17"/>
      <c r="K43" s="12"/>
      <c r="L43" s="12"/>
      <c r="N43" s="13"/>
      <c r="O43" s="14"/>
      <c r="P43" s="15"/>
      <c r="T43" s="12"/>
      <c r="X43" s="103">
        <f t="shared" si="0"/>
        <v>42</v>
      </c>
      <c r="Y43" s="10"/>
      <c r="Z43" s="10" t="s">
        <v>634</v>
      </c>
      <c r="AA43" s="10" t="s">
        <v>635</v>
      </c>
      <c r="AB43" s="10"/>
      <c r="AC43" s="116"/>
    </row>
    <row r="44" spans="10:29" x14ac:dyDescent="0.25">
      <c r="J44" s="17"/>
      <c r="K44" s="12"/>
      <c r="L44" s="12"/>
      <c r="N44" s="13"/>
      <c r="O44" s="14"/>
      <c r="P44" s="15"/>
      <c r="T44" s="12"/>
      <c r="X44" s="103">
        <f t="shared" si="0"/>
        <v>43</v>
      </c>
      <c r="Y44" s="10"/>
      <c r="Z44" s="10" t="s">
        <v>636</v>
      </c>
      <c r="AA44" s="10" t="s">
        <v>637</v>
      </c>
      <c r="AB44" s="10"/>
      <c r="AC44" s="116"/>
    </row>
    <row r="45" spans="10:29" x14ac:dyDescent="0.25">
      <c r="J45" s="17"/>
      <c r="K45" s="12"/>
      <c r="L45" s="12"/>
      <c r="N45" s="13"/>
      <c r="O45" s="14"/>
      <c r="P45" s="15"/>
      <c r="T45" s="12"/>
      <c r="X45" s="103">
        <f t="shared" si="0"/>
        <v>44</v>
      </c>
      <c r="Y45" s="10"/>
      <c r="Z45" s="10" t="s">
        <v>638</v>
      </c>
      <c r="AA45" s="10" t="s">
        <v>639</v>
      </c>
      <c r="AB45" s="10"/>
      <c r="AC45" s="116"/>
    </row>
    <row r="46" spans="10:29" x14ac:dyDescent="0.25">
      <c r="J46" s="17"/>
      <c r="K46" s="12"/>
      <c r="L46" s="12"/>
      <c r="N46" s="13"/>
      <c r="O46" s="14"/>
      <c r="P46" s="15"/>
      <c r="T46" s="12"/>
      <c r="X46" s="103">
        <f t="shared" si="0"/>
        <v>45</v>
      </c>
      <c r="Y46" s="10"/>
      <c r="Z46" s="10" t="s">
        <v>640</v>
      </c>
      <c r="AA46" s="10" t="s">
        <v>641</v>
      </c>
      <c r="AB46" s="10"/>
      <c r="AC46" s="116"/>
    </row>
    <row r="47" spans="10:29" x14ac:dyDescent="0.25">
      <c r="J47" s="17"/>
      <c r="K47" s="12"/>
      <c r="L47" s="12"/>
      <c r="N47" s="13"/>
      <c r="O47" s="14"/>
      <c r="P47" s="15"/>
      <c r="T47" s="12"/>
      <c r="X47" s="103"/>
      <c r="Y47" s="10"/>
      <c r="Z47" s="10" t="s">
        <v>644</v>
      </c>
      <c r="AA47" s="10" t="s">
        <v>645</v>
      </c>
      <c r="AB47" s="10"/>
      <c r="AC47" s="116"/>
    </row>
    <row r="48" spans="10:29" x14ac:dyDescent="0.25">
      <c r="J48" s="17"/>
      <c r="K48" s="12"/>
      <c r="L48" s="12"/>
      <c r="N48" s="13"/>
      <c r="O48" s="14"/>
      <c r="P48" s="15"/>
      <c r="T48" s="12"/>
      <c r="X48" s="103"/>
      <c r="Y48" s="10"/>
      <c r="Z48" s="10" t="s">
        <v>642</v>
      </c>
      <c r="AA48" s="10" t="s">
        <v>646</v>
      </c>
      <c r="AB48" s="10"/>
      <c r="AC48" s="116"/>
    </row>
    <row r="49" spans="1:58" x14ac:dyDescent="0.25">
      <c r="J49" s="17"/>
      <c r="K49" s="12"/>
      <c r="L49" s="12"/>
      <c r="N49" s="13"/>
      <c r="O49" s="14"/>
      <c r="P49" s="15"/>
      <c r="T49" s="12"/>
      <c r="X49" s="103"/>
      <c r="Y49" s="10"/>
      <c r="Z49" s="10" t="s">
        <v>651</v>
      </c>
      <c r="AA49" s="10" t="s">
        <v>653</v>
      </c>
      <c r="AB49" s="10"/>
      <c r="AC49" s="116"/>
    </row>
    <row r="50" spans="1:58" x14ac:dyDescent="0.25">
      <c r="J50" s="17"/>
      <c r="K50" s="12"/>
      <c r="L50" s="12"/>
      <c r="N50" s="13"/>
      <c r="O50" s="14"/>
      <c r="P50" s="15"/>
      <c r="T50" s="12"/>
      <c r="X50" s="103"/>
      <c r="Y50" s="10"/>
      <c r="Z50" s="10" t="s">
        <v>652</v>
      </c>
      <c r="AA50" s="10" t="s">
        <v>654</v>
      </c>
      <c r="AB50" s="10"/>
      <c r="AC50" s="116"/>
    </row>
    <row r="51" spans="1:58" x14ac:dyDescent="0.25">
      <c r="J51" s="17"/>
      <c r="K51" s="12"/>
      <c r="L51" s="12"/>
      <c r="N51" s="13"/>
      <c r="O51" s="14"/>
      <c r="P51" s="15"/>
      <c r="T51" s="12"/>
      <c r="X51" s="103"/>
      <c r="Y51" s="10"/>
      <c r="Z51" s="10" t="s">
        <v>650</v>
      </c>
      <c r="AA51" s="10" t="s">
        <v>655</v>
      </c>
      <c r="AB51" s="10"/>
      <c r="AC51" s="116"/>
    </row>
    <row r="52" spans="1:58" x14ac:dyDescent="0.25">
      <c r="J52" s="17"/>
      <c r="K52" s="12"/>
      <c r="L52" s="12"/>
      <c r="N52" s="13"/>
      <c r="O52" s="14"/>
      <c r="P52" s="15"/>
      <c r="T52" s="12"/>
      <c r="X52" s="103"/>
      <c r="Y52" s="10"/>
      <c r="Z52" s="10" t="s">
        <v>648</v>
      </c>
      <c r="AA52" s="10" t="s">
        <v>656</v>
      </c>
      <c r="AB52" s="10"/>
      <c r="AC52" s="116"/>
    </row>
    <row r="53" spans="1:58" x14ac:dyDescent="0.25">
      <c r="J53" s="17"/>
      <c r="K53" s="12"/>
      <c r="L53" s="12"/>
      <c r="N53" s="13"/>
      <c r="O53" s="14"/>
      <c r="P53" s="15"/>
      <c r="T53" s="12"/>
      <c r="X53" s="103"/>
      <c r="Y53" s="10"/>
      <c r="Z53" s="10" t="s">
        <v>649</v>
      </c>
      <c r="AA53" s="10" t="s">
        <v>657</v>
      </c>
      <c r="AB53" s="10"/>
      <c r="AC53" s="116"/>
    </row>
    <row r="54" spans="1:58" x14ac:dyDescent="0.25">
      <c r="J54" s="17"/>
      <c r="K54" s="12"/>
      <c r="L54" s="12"/>
      <c r="N54" s="13"/>
      <c r="O54" s="14"/>
      <c r="P54" s="15"/>
      <c r="T54" s="12"/>
      <c r="X54" s="103"/>
      <c r="Y54" s="10"/>
      <c r="Z54" s="10" t="s">
        <v>661</v>
      </c>
      <c r="AA54" s="10" t="s">
        <v>664</v>
      </c>
      <c r="AB54" s="10"/>
      <c r="AC54" s="116"/>
    </row>
    <row r="55" spans="1:58" x14ac:dyDescent="0.25">
      <c r="J55" s="17"/>
      <c r="K55" s="12"/>
      <c r="L55" s="12"/>
      <c r="N55" s="13"/>
      <c r="O55" s="14"/>
      <c r="P55" s="15"/>
      <c r="T55" s="12"/>
      <c r="X55" s="103"/>
      <c r="Y55" s="10"/>
      <c r="Z55" s="10" t="s">
        <v>660</v>
      </c>
      <c r="AA55" s="10" t="s">
        <v>665</v>
      </c>
      <c r="AB55" s="10"/>
      <c r="AC55" s="116"/>
    </row>
    <row r="56" spans="1:58" x14ac:dyDescent="0.25">
      <c r="J56" s="17"/>
      <c r="K56" s="12"/>
      <c r="L56" s="12"/>
      <c r="N56" s="13"/>
      <c r="O56" s="14"/>
      <c r="P56" s="15"/>
      <c r="T56" s="12"/>
      <c r="X56" s="103"/>
      <c r="Y56" s="10"/>
      <c r="Z56" s="10" t="s">
        <v>643</v>
      </c>
      <c r="AA56" s="10" t="s">
        <v>647</v>
      </c>
      <c r="AB56" s="10"/>
      <c r="AC56" s="116"/>
    </row>
    <row r="57" spans="1:58" x14ac:dyDescent="0.25">
      <c r="J57" s="17"/>
      <c r="K57" s="12"/>
      <c r="L57" s="12"/>
      <c r="N57" s="13"/>
      <c r="O57" s="14"/>
      <c r="P57" s="15"/>
      <c r="T57" s="12"/>
      <c r="X57" s="103">
        <f>X46+1</f>
        <v>46</v>
      </c>
      <c r="Y57" s="10"/>
      <c r="Z57" s="10" t="s">
        <v>616</v>
      </c>
      <c r="AA57" s="10" t="s">
        <v>619</v>
      </c>
      <c r="AB57" s="10"/>
      <c r="AC57" s="116"/>
    </row>
    <row r="58" spans="1:58" x14ac:dyDescent="0.25">
      <c r="J58" s="17"/>
      <c r="K58" s="12"/>
      <c r="L58" s="12"/>
      <c r="N58" s="13"/>
      <c r="O58" s="14"/>
      <c r="P58" s="15"/>
      <c r="T58" s="12"/>
      <c r="X58" s="103">
        <f t="shared" si="0"/>
        <v>47</v>
      </c>
      <c r="Y58" s="10" t="s">
        <v>576</v>
      </c>
      <c r="Z58" s="10" t="s">
        <v>605</v>
      </c>
      <c r="AA58" s="10" t="s">
        <v>586</v>
      </c>
      <c r="AB58" s="10" t="s">
        <v>577</v>
      </c>
      <c r="AC58" s="117"/>
      <c r="AD58" t="s">
        <v>605</v>
      </c>
    </row>
    <row r="59" spans="1:58" x14ac:dyDescent="0.25">
      <c r="A59">
        <v>3</v>
      </c>
      <c r="B59" t="str">
        <f>_xlfn.IFNA(VLOOKUP(A59,$I$2:$J$264,2,0),"")</f>
        <v>Туника</v>
      </c>
      <c r="I59">
        <f>IF(ISNUMBER(SEARCH(Asosiy!$B$3,J59)),MAX($I$1:I24)+1,0)</f>
        <v>24</v>
      </c>
      <c r="J59" s="17" t="s">
        <v>528</v>
      </c>
      <c r="K59" s="12" t="s">
        <v>483</v>
      </c>
      <c r="L59" s="12" t="s">
        <v>108</v>
      </c>
      <c r="N59" s="13">
        <v>23</v>
      </c>
      <c r="O59" s="14" t="s">
        <v>111</v>
      </c>
      <c r="P59" s="15" t="s">
        <v>240</v>
      </c>
      <c r="T59" s="12"/>
      <c r="X59" s="103">
        <f t="shared" si="0"/>
        <v>48</v>
      </c>
      <c r="Y59" s="10" t="s">
        <v>235</v>
      </c>
      <c r="Z59" s="10" t="s">
        <v>606</v>
      </c>
      <c r="AA59" s="10" t="s">
        <v>236</v>
      </c>
      <c r="AB59" s="10" t="s">
        <v>237</v>
      </c>
      <c r="AC59" s="42"/>
      <c r="AD59" t="s">
        <v>606</v>
      </c>
    </row>
    <row r="60" spans="1:58" x14ac:dyDescent="0.25">
      <c r="A60">
        <v>4</v>
      </c>
      <c r="B60" t="str">
        <f>_xlfn.IFNA(VLOOKUP(A60,$I$2:$J$264,2,0),"")</f>
        <v>Платье</v>
      </c>
      <c r="I60">
        <f>IF(ISNUMBER(SEARCH(Asosiy!$B$3,J60)),MAX($I$1:I59)+1,0)</f>
        <v>25</v>
      </c>
      <c r="J60" s="17" t="s">
        <v>353</v>
      </c>
      <c r="K60" s="12" t="s">
        <v>354</v>
      </c>
      <c r="L60" s="12" t="s">
        <v>531</v>
      </c>
      <c r="N60" s="13">
        <v>24</v>
      </c>
      <c r="O60" s="14" t="s">
        <v>243</v>
      </c>
      <c r="P60" s="15" t="s">
        <v>168</v>
      </c>
      <c r="T60" s="12"/>
      <c r="X60" s="103">
        <f t="shared" si="0"/>
        <v>49</v>
      </c>
      <c r="Y60" s="10" t="s">
        <v>23</v>
      </c>
      <c r="Z60" s="10" t="s">
        <v>242</v>
      </c>
      <c r="AA60" s="10" t="s">
        <v>241</v>
      </c>
      <c r="AB60" s="10" t="s">
        <v>242</v>
      </c>
      <c r="AD60" t="s">
        <v>242</v>
      </c>
    </row>
    <row r="61" spans="1:58" x14ac:dyDescent="0.25">
      <c r="A61">
        <v>5</v>
      </c>
      <c r="B61" t="str">
        <f>_xlfn.IFNA(VLOOKUP(A61,$I$2:$J$264,2,0),"")</f>
        <v>Сарафан</v>
      </c>
      <c r="I61">
        <f>IF(ISNUMBER(SEARCH(Asosiy!$B$3,J61)),MAX($I$1:I60)+1,0)</f>
        <v>26</v>
      </c>
      <c r="J61" s="17" t="s">
        <v>355</v>
      </c>
      <c r="K61" s="12" t="s">
        <v>354</v>
      </c>
      <c r="L61" s="12" t="s">
        <v>531</v>
      </c>
      <c r="N61" s="13">
        <v>25</v>
      </c>
      <c r="O61" s="14" t="s">
        <v>100</v>
      </c>
      <c r="P61" s="15" t="s">
        <v>244</v>
      </c>
      <c r="T61" s="12"/>
    </row>
    <row r="62" spans="1:58" x14ac:dyDescent="0.25">
      <c r="A62">
        <v>6</v>
      </c>
      <c r="B62" t="str">
        <f>_xlfn.IFNA(VLOOKUP(A62,$I$2:$J$264,2,0),"")</f>
        <v>Рубашка</v>
      </c>
      <c r="I62">
        <f>IF(ISNUMBER(SEARCH(Asosiy!$B$3,J62)),MAX($I$1:I61)+1,0)</f>
        <v>27</v>
      </c>
      <c r="J62" s="17" t="s">
        <v>356</v>
      </c>
      <c r="K62" s="12" t="s">
        <v>354</v>
      </c>
      <c r="L62" s="12" t="s">
        <v>531</v>
      </c>
      <c r="N62" s="13">
        <v>26</v>
      </c>
      <c r="O62" s="14" t="s">
        <v>245</v>
      </c>
      <c r="P62" s="15" t="s">
        <v>246</v>
      </c>
      <c r="T62" s="12"/>
    </row>
    <row r="63" spans="1:58" x14ac:dyDescent="0.25">
      <c r="A63">
        <v>7</v>
      </c>
      <c r="B63" t="str">
        <f>_xlfn.IFNA(VLOOKUP(A63,$I$2:$J$264,2,0),"")</f>
        <v>Рубашка с длинными рукавами</v>
      </c>
      <c r="I63">
        <f>IF(ISNUMBER(SEARCH(Asosiy!$B$3,J63)),MAX($I$1:I62)+1,0)</f>
        <v>28</v>
      </c>
      <c r="J63" s="17" t="s">
        <v>357</v>
      </c>
      <c r="K63" s="12" t="s">
        <v>354</v>
      </c>
      <c r="L63" s="12" t="s">
        <v>531</v>
      </c>
      <c r="N63" s="13">
        <v>27</v>
      </c>
      <c r="O63" s="14" t="s">
        <v>247</v>
      </c>
      <c r="P63" s="15" t="s">
        <v>248</v>
      </c>
      <c r="T63" s="12"/>
      <c r="Y63" s="10" t="s">
        <v>30</v>
      </c>
      <c r="Z63" s="10" t="s">
        <v>45</v>
      </c>
      <c r="AA63" s="10" t="s">
        <v>60</v>
      </c>
      <c r="AB63" s="10" t="s">
        <v>75</v>
      </c>
      <c r="AC63" s="10" t="s">
        <v>90</v>
      </c>
      <c r="AD63" s="10" t="s">
        <v>102</v>
      </c>
      <c r="AE63" s="10" t="s">
        <v>113</v>
      </c>
      <c r="AF63" s="10" t="s">
        <v>125</v>
      </c>
      <c r="AG63" s="10" t="s">
        <v>559</v>
      </c>
      <c r="AH63" s="10" t="s">
        <v>144</v>
      </c>
      <c r="AI63" s="10" t="s">
        <v>153</v>
      </c>
      <c r="AJ63" s="10" t="s">
        <v>163</v>
      </c>
      <c r="AK63" s="10" t="s">
        <v>171</v>
      </c>
      <c r="AL63" s="10" t="s">
        <v>180</v>
      </c>
      <c r="AM63" s="10" t="s">
        <v>190</v>
      </c>
      <c r="AN63" s="10" t="s">
        <v>197</v>
      </c>
      <c r="AO63" s="10" t="s">
        <v>202</v>
      </c>
      <c r="AP63" s="10" t="s">
        <v>545</v>
      </c>
      <c r="AQ63" s="10" t="s">
        <v>587</v>
      </c>
      <c r="AR63" s="10" t="s">
        <v>212</v>
      </c>
      <c r="AS63" s="10" t="s">
        <v>218</v>
      </c>
      <c r="AT63" s="10" t="s">
        <v>224</v>
      </c>
      <c r="AU63" s="10" t="s">
        <v>231</v>
      </c>
      <c r="AV63" s="10" t="s">
        <v>566</v>
      </c>
      <c r="AW63" s="10" t="s">
        <v>567</v>
      </c>
      <c r="AX63" s="10" t="s">
        <v>568</v>
      </c>
      <c r="AY63" s="10" t="s">
        <v>569</v>
      </c>
      <c r="AZ63" s="10" t="s">
        <v>570</v>
      </c>
      <c r="BA63" s="10" t="s">
        <v>571</v>
      </c>
      <c r="BB63" s="10" t="s">
        <v>574</v>
      </c>
      <c r="BC63" s="10" t="s">
        <v>575</v>
      </c>
      <c r="BD63" s="10" t="s">
        <v>577</v>
      </c>
      <c r="BE63" s="10" t="s">
        <v>237</v>
      </c>
      <c r="BF63" s="10" t="s">
        <v>242</v>
      </c>
    </row>
    <row r="64" spans="1:58" x14ac:dyDescent="0.25">
      <c r="A64">
        <v>8</v>
      </c>
      <c r="B64" t="str">
        <f>_xlfn.IFNA(VLOOKUP(A64,$I$2:$J$264,2,0),"")</f>
        <v>Водолазка</v>
      </c>
      <c r="I64">
        <f>IF(ISNUMBER(SEARCH(Asosiy!$B$3,J64)),MAX($I$1:I63)+1,0)</f>
        <v>29</v>
      </c>
      <c r="J64" s="17" t="s">
        <v>358</v>
      </c>
      <c r="K64" s="12" t="s">
        <v>354</v>
      </c>
      <c r="L64" s="12" t="s">
        <v>531</v>
      </c>
      <c r="N64" s="13">
        <v>28</v>
      </c>
      <c r="O64" s="14" t="s">
        <v>249</v>
      </c>
      <c r="P64" s="15" t="s">
        <v>250</v>
      </c>
      <c r="Y64" s="16"/>
      <c r="Z64" s="18"/>
      <c r="AA64" s="19"/>
      <c r="AB64" s="22"/>
      <c r="AC64" s="23"/>
      <c r="AD64" s="24"/>
      <c r="AE64" s="26"/>
      <c r="AF64" s="27"/>
      <c r="AG64" s="28"/>
      <c r="AH64" s="29"/>
      <c r="AI64" s="30"/>
      <c r="AJ64" s="31"/>
      <c r="AK64" s="32"/>
      <c r="AL64" s="33"/>
      <c r="AM64" s="34"/>
      <c r="AN64" s="35"/>
      <c r="AO64" s="36"/>
      <c r="AP64" s="108"/>
      <c r="AQ64" s="37"/>
      <c r="AR64" s="38"/>
      <c r="AS64" s="39"/>
      <c r="AT64" s="40"/>
      <c r="AU64" s="41"/>
      <c r="AV64" s="109"/>
      <c r="AW64" s="110"/>
      <c r="AX64" s="114"/>
      <c r="AY64" s="111"/>
      <c r="AZ64" s="112"/>
      <c r="BA64" s="113"/>
      <c r="BB64" s="115"/>
      <c r="BC64" s="116"/>
      <c r="BD64" s="117"/>
      <c r="BE64" s="42"/>
    </row>
    <row r="65" spans="1:58" x14ac:dyDescent="0.25">
      <c r="A65">
        <v>9</v>
      </c>
      <c r="B65" t="str">
        <f>_xlfn.IFNA(VLOOKUP(A65,$I$2:$J$264,2,0),"")</f>
        <v>Джемпер</v>
      </c>
      <c r="I65">
        <f>IF(ISNUMBER(SEARCH(Asosiy!$B$3,J65)),MAX($I$1:I64)+1,0)</f>
        <v>30</v>
      </c>
      <c r="J65" s="17" t="s">
        <v>359</v>
      </c>
      <c r="K65" s="12" t="s">
        <v>354</v>
      </c>
      <c r="L65" s="12" t="s">
        <v>531</v>
      </c>
      <c r="N65" s="13">
        <v>29</v>
      </c>
      <c r="O65" s="14" t="s">
        <v>123</v>
      </c>
      <c r="P65" s="15" t="s">
        <v>251</v>
      </c>
      <c r="Y65" t="s">
        <v>548</v>
      </c>
      <c r="Z65" t="s">
        <v>549</v>
      </c>
      <c r="AA65" t="s">
        <v>60</v>
      </c>
      <c r="AB65" t="s">
        <v>552</v>
      </c>
      <c r="AC65" t="s">
        <v>550</v>
      </c>
      <c r="AD65" t="s">
        <v>551</v>
      </c>
      <c r="AE65" t="s">
        <v>589</v>
      </c>
      <c r="AF65" t="s">
        <v>125</v>
      </c>
      <c r="AG65" t="s">
        <v>134</v>
      </c>
      <c r="AH65" t="s">
        <v>558</v>
      </c>
      <c r="AI65" t="s">
        <v>555</v>
      </c>
      <c r="AJ65" t="s">
        <v>590</v>
      </c>
      <c r="AK65" t="s">
        <v>556</v>
      </c>
      <c r="AL65" t="s">
        <v>180</v>
      </c>
      <c r="AM65" t="s">
        <v>554</v>
      </c>
      <c r="AN65" t="s">
        <v>591</v>
      </c>
      <c r="AO65" t="s">
        <v>553</v>
      </c>
      <c r="AP65" t="s">
        <v>545</v>
      </c>
      <c r="AQ65" t="s">
        <v>592</v>
      </c>
      <c r="AR65" t="s">
        <v>593</v>
      </c>
      <c r="AS65" t="s">
        <v>594</v>
      </c>
      <c r="AT65" t="s">
        <v>595</v>
      </c>
      <c r="AU65" t="s">
        <v>596</v>
      </c>
      <c r="AV65" t="s">
        <v>597</v>
      </c>
      <c r="AW65" t="s">
        <v>598</v>
      </c>
      <c r="AX65" t="s">
        <v>599</v>
      </c>
      <c r="AY65" t="s">
        <v>600</v>
      </c>
      <c r="AZ65" t="s">
        <v>601</v>
      </c>
      <c r="BA65" t="s">
        <v>602</v>
      </c>
      <c r="BB65" t="s">
        <v>603</v>
      </c>
      <c r="BC65" t="s">
        <v>604</v>
      </c>
      <c r="BD65" t="s">
        <v>605</v>
      </c>
      <c r="BE65" t="s">
        <v>606</v>
      </c>
      <c r="BF65" t="s">
        <v>242</v>
      </c>
    </row>
    <row r="66" spans="1:58" x14ac:dyDescent="0.25">
      <c r="A66">
        <v>10</v>
      </c>
      <c r="B66" t="str">
        <f>_xlfn.IFNA(VLOOKUP(A66,$I$2:$J$264,2,0),"")</f>
        <v>Кардиган</v>
      </c>
      <c r="I66">
        <f>IF(ISNUMBER(SEARCH(Asosiy!$B$3,J66)),MAX($I$1:I65)+1,0)</f>
        <v>31</v>
      </c>
      <c r="J66" s="17" t="s">
        <v>360</v>
      </c>
      <c r="K66" s="12" t="s">
        <v>354</v>
      </c>
      <c r="L66" s="12" t="s">
        <v>531</v>
      </c>
      <c r="N66" s="13">
        <v>30</v>
      </c>
      <c r="O66" s="14" t="s">
        <v>254</v>
      </c>
      <c r="P66" s="15" t="s">
        <v>255</v>
      </c>
    </row>
    <row r="67" spans="1:58" x14ac:dyDescent="0.25">
      <c r="A67">
        <v>11</v>
      </c>
      <c r="B67" t="str">
        <f>_xlfn.IFNA(VLOOKUP(A67,$I$2:$J$264,2,0),"")</f>
        <v>Пуловер</v>
      </c>
      <c r="I67">
        <f>IF(ISNUMBER(SEARCH(Asosiy!$B$3,J67)),MAX($I$1:I66)+1,0)</f>
        <v>32</v>
      </c>
      <c r="J67" s="17" t="s">
        <v>361</v>
      </c>
      <c r="K67" s="12" t="s">
        <v>354</v>
      </c>
      <c r="L67" s="12" t="s">
        <v>531</v>
      </c>
      <c r="N67" s="13">
        <v>31</v>
      </c>
      <c r="O67" s="14" t="s">
        <v>257</v>
      </c>
      <c r="P67" s="15" t="s">
        <v>258</v>
      </c>
    </row>
    <row r="68" spans="1:58" x14ac:dyDescent="0.25">
      <c r="A68">
        <v>12</v>
      </c>
      <c r="B68" t="str">
        <f>_xlfn.IFNA(VLOOKUP(A68,$I$2:$J$264,2,0),"")</f>
        <v>Свитер</v>
      </c>
      <c r="I68">
        <f>IF(ISNUMBER(SEARCH(Asosiy!$B$3,J68)),MAX($I$1:I67)+1,0)</f>
        <v>33</v>
      </c>
      <c r="J68" s="17" t="s">
        <v>362</v>
      </c>
      <c r="K68" s="12" t="s">
        <v>354</v>
      </c>
      <c r="L68" s="12" t="s">
        <v>531</v>
      </c>
      <c r="N68" s="13">
        <v>32</v>
      </c>
      <c r="O68" s="14" t="s">
        <v>260</v>
      </c>
      <c r="P68" s="15" t="s">
        <v>141</v>
      </c>
    </row>
    <row r="69" spans="1:58" x14ac:dyDescent="0.25">
      <c r="A69">
        <v>13</v>
      </c>
      <c r="B69" t="str">
        <f>_xlfn.IFNA(VLOOKUP(A69,$I$2:$J$264,2,0),"")</f>
        <v>Свитер жилетка</v>
      </c>
      <c r="I69">
        <f>IF(ISNUMBER(SEARCH(Asosiy!$B$3,J69)),MAX($I$1:I68)+1,0)</f>
        <v>34</v>
      </c>
      <c r="J69" s="17" t="s">
        <v>363</v>
      </c>
      <c r="K69" s="12" t="s">
        <v>354</v>
      </c>
      <c r="L69" s="12" t="s">
        <v>531</v>
      </c>
      <c r="N69" s="13">
        <v>33</v>
      </c>
      <c r="O69" s="14" t="s">
        <v>262</v>
      </c>
      <c r="P69" s="15" t="s">
        <v>263</v>
      </c>
    </row>
    <row r="70" spans="1:58" x14ac:dyDescent="0.25">
      <c r="A70">
        <v>14</v>
      </c>
      <c r="B70" t="str">
        <f>_xlfn.IFNA(VLOOKUP(A70,$I$2:$J$264,2,0),"")</f>
        <v>Свитер поло</v>
      </c>
      <c r="I70">
        <f>IF(ISNUMBER(SEARCH(Asosiy!$B$3,J70)),MAX($I$1:I69)+1,0)</f>
        <v>35</v>
      </c>
      <c r="J70" s="17" t="s">
        <v>364</v>
      </c>
      <c r="K70" s="12" t="s">
        <v>354</v>
      </c>
      <c r="L70" s="12" t="s">
        <v>531</v>
      </c>
      <c r="N70" s="13">
        <v>34</v>
      </c>
      <c r="O70" s="14" t="s">
        <v>266</v>
      </c>
      <c r="P70" s="15" t="s">
        <v>267</v>
      </c>
    </row>
    <row r="71" spans="1:58" x14ac:dyDescent="0.25">
      <c r="A71">
        <v>15</v>
      </c>
      <c r="B71" t="str">
        <f>_xlfn.IFNA(VLOOKUP(A71,$I$2:$J$264,2,0),"")</f>
        <v>Американка</v>
      </c>
      <c r="I71">
        <f>IF(ISNUMBER(SEARCH(Asosiy!$B$3,J71)),MAX($I$1:I70)+1,0)</f>
        <v>36</v>
      </c>
      <c r="J71" s="17" t="s">
        <v>365</v>
      </c>
      <c r="K71" s="12" t="s">
        <v>354</v>
      </c>
      <c r="L71" s="12" t="s">
        <v>531</v>
      </c>
      <c r="N71" s="13">
        <v>35</v>
      </c>
      <c r="O71" s="14" t="s">
        <v>132</v>
      </c>
      <c r="P71" s="15" t="s">
        <v>269</v>
      </c>
    </row>
    <row r="72" spans="1:58" x14ac:dyDescent="0.25">
      <c r="A72">
        <v>16</v>
      </c>
      <c r="B72" t="str">
        <f>_xlfn.IFNA(VLOOKUP(A72,$I$2:$J$264,2,0),"")</f>
        <v>Олимпийка</v>
      </c>
      <c r="I72">
        <f>IF(ISNUMBER(SEARCH(Asosiy!$B$3,J72)),MAX($I$1:I71)+1,0)</f>
        <v>37</v>
      </c>
      <c r="J72" s="17" t="s">
        <v>366</v>
      </c>
      <c r="K72" s="12" t="s">
        <v>354</v>
      </c>
      <c r="L72" s="12" t="s">
        <v>531</v>
      </c>
      <c r="N72" s="13">
        <v>36</v>
      </c>
      <c r="O72" s="14" t="s">
        <v>271</v>
      </c>
      <c r="P72" s="15" t="s">
        <v>272</v>
      </c>
    </row>
    <row r="73" spans="1:58" x14ac:dyDescent="0.25">
      <c r="A73">
        <v>17</v>
      </c>
      <c r="B73" t="str">
        <f>_xlfn.IFNA(VLOOKUP(A73,$I$2:$J$264,2,0),"")</f>
        <v>Толстовка</v>
      </c>
      <c r="I73">
        <f>IF(ISNUMBER(SEARCH(Asosiy!$B$3,J73)),MAX($I$1:I72)+1,0)</f>
        <v>38</v>
      </c>
      <c r="J73" s="17" t="s">
        <v>367</v>
      </c>
      <c r="K73" s="12" t="s">
        <v>354</v>
      </c>
      <c r="L73" s="12" t="s">
        <v>531</v>
      </c>
      <c r="N73" s="13">
        <v>37</v>
      </c>
      <c r="O73" s="14" t="s">
        <v>188</v>
      </c>
    </row>
    <row r="74" spans="1:58" x14ac:dyDescent="0.25">
      <c r="A74">
        <v>18</v>
      </c>
      <c r="B74" t="str">
        <f>_xlfn.IFNA(VLOOKUP(A74,$I$2:$J$264,2,0),"")</f>
        <v>Худи</v>
      </c>
      <c r="I74">
        <f>IF(ISNUMBER(SEARCH(Asosiy!$B$3,J74)),MAX($I$1:I73)+1,0)</f>
        <v>39</v>
      </c>
      <c r="J74" s="17" t="s">
        <v>368</v>
      </c>
      <c r="K74" s="12" t="s">
        <v>354</v>
      </c>
      <c r="L74" s="12" t="s">
        <v>531</v>
      </c>
      <c r="N74" s="13">
        <v>38</v>
      </c>
      <c r="O74" s="14" t="s">
        <v>275</v>
      </c>
    </row>
    <row r="75" spans="1:58" x14ac:dyDescent="0.25">
      <c r="A75">
        <v>19</v>
      </c>
      <c r="B75" t="str">
        <f>_xlfn.IFNA(VLOOKUP(A75,$I$2:$J$264,2,0),"")</f>
        <v>Лонгслив</v>
      </c>
      <c r="I75">
        <f>IF(ISNUMBER(SEARCH(Asosiy!$B$3,J75)),MAX($I$1:I74)+1,0)</f>
        <v>40</v>
      </c>
      <c r="J75" s="17" t="s">
        <v>369</v>
      </c>
      <c r="K75" s="12" t="s">
        <v>354</v>
      </c>
      <c r="L75" s="12" t="s">
        <v>531</v>
      </c>
      <c r="N75" s="13">
        <v>39</v>
      </c>
      <c r="O75" s="14" t="s">
        <v>178</v>
      </c>
    </row>
    <row r="76" spans="1:58" x14ac:dyDescent="0.25">
      <c r="A76">
        <v>20</v>
      </c>
      <c r="B76" t="str">
        <f>_xlfn.IFNA(VLOOKUP(A76,$I$2:$J$264,2,0),"")</f>
        <v>Футболка поло</v>
      </c>
      <c r="I76">
        <f>IF(ISNUMBER(SEARCH(Asosiy!$B$3,J76)),MAX($I$1:I75)+1,0)</f>
        <v>41</v>
      </c>
      <c r="J76" s="17" t="s">
        <v>370</v>
      </c>
      <c r="K76" s="12" t="s">
        <v>354</v>
      </c>
      <c r="L76" s="12" t="s">
        <v>531</v>
      </c>
      <c r="N76" s="13">
        <v>40</v>
      </c>
      <c r="O76" s="14" t="s">
        <v>279</v>
      </c>
    </row>
    <row r="77" spans="1:58" x14ac:dyDescent="0.25">
      <c r="A77">
        <v>21</v>
      </c>
      <c r="B77" t="str">
        <f>_xlfn.IFNA(VLOOKUP(A77,$I$2:$J$264,2,0),"")</f>
        <v>Поло с длинными рукавами</v>
      </c>
      <c r="I77">
        <f>IF(ISNUMBER(SEARCH(Asosiy!$B$3,J77)),MAX($I$1:I76)+1,0)</f>
        <v>42</v>
      </c>
      <c r="J77" s="17" t="s">
        <v>371</v>
      </c>
      <c r="K77" s="12" t="s">
        <v>354</v>
      </c>
      <c r="L77" s="12" t="s">
        <v>531</v>
      </c>
      <c r="N77" s="13">
        <v>41</v>
      </c>
      <c r="O77" s="14" t="s">
        <v>281</v>
      </c>
    </row>
    <row r="78" spans="1:58" x14ac:dyDescent="0.25">
      <c r="A78">
        <v>22</v>
      </c>
      <c r="B78" t="str">
        <f>_xlfn.IFNA(VLOOKUP(A78,$I$2:$J$264,2,0),"")</f>
        <v>Футболка</v>
      </c>
      <c r="I78">
        <f>IF(ISNUMBER(SEARCH(Asosiy!$B$3,J78)),MAX($I$1:I77)+1,0)</f>
        <v>43</v>
      </c>
      <c r="J78" s="17" t="s">
        <v>372</v>
      </c>
      <c r="K78" s="12" t="s">
        <v>354</v>
      </c>
      <c r="L78" s="12" t="s">
        <v>531</v>
      </c>
      <c r="N78" s="13">
        <v>42</v>
      </c>
      <c r="O78" s="14" t="s">
        <v>210</v>
      </c>
    </row>
    <row r="79" spans="1:58" x14ac:dyDescent="0.25">
      <c r="A79">
        <v>23</v>
      </c>
      <c r="B79" t="str">
        <f>_xlfn.IFNA(VLOOKUP(A79,$I$2:$J$264,2,0),"")</f>
        <v>Футболка безрукавка</v>
      </c>
      <c r="I79">
        <f>IF(ISNUMBER(SEARCH(Asosiy!$B$3,J79)),MAX($I$1:I78)+1,0)</f>
        <v>44</v>
      </c>
      <c r="J79" s="17" t="s">
        <v>373</v>
      </c>
      <c r="K79" s="12" t="s">
        <v>354</v>
      </c>
      <c r="L79" s="12" t="s">
        <v>531</v>
      </c>
      <c r="N79" s="13">
        <v>43</v>
      </c>
      <c r="O79" s="14" t="s">
        <v>285</v>
      </c>
    </row>
    <row r="80" spans="1:58" x14ac:dyDescent="0.25">
      <c r="A80">
        <v>24</v>
      </c>
      <c r="B80" t="str">
        <f>_xlfn.IFNA(VLOOKUP(A80,$I$2:$J$264,2,0),"")</f>
        <v>Футболка поло с д.р</v>
      </c>
      <c r="I80">
        <f>IF(ISNUMBER(SEARCH(Asosiy!$B$3,J80)),MAX($I$1:I79)+1,0)</f>
        <v>45</v>
      </c>
      <c r="J80" s="17" t="s">
        <v>374</v>
      </c>
      <c r="K80" s="12" t="s">
        <v>354</v>
      </c>
      <c r="L80" s="12" t="s">
        <v>531</v>
      </c>
      <c r="N80" s="13">
        <v>44</v>
      </c>
      <c r="O80" s="14" t="s">
        <v>216</v>
      </c>
    </row>
    <row r="81" spans="1:15" x14ac:dyDescent="0.25">
      <c r="A81">
        <v>25</v>
      </c>
      <c r="B81" t="str">
        <f>_xlfn.IFNA(VLOOKUP(A81,$I$2:$J$264,2,0),"")</f>
        <v>Блузка и юбка</v>
      </c>
      <c r="I81">
        <f>IF(ISNUMBER(SEARCH(Asosiy!$B$3,J81)),MAX($I$1:I80)+1,0)</f>
        <v>46</v>
      </c>
      <c r="J81" s="17" t="s">
        <v>375</v>
      </c>
      <c r="K81" s="12" t="s">
        <v>354</v>
      </c>
      <c r="L81" s="12" t="s">
        <v>531</v>
      </c>
      <c r="N81" s="13">
        <v>45</v>
      </c>
      <c r="O81" s="14" t="s">
        <v>201</v>
      </c>
    </row>
    <row r="82" spans="1:15" x14ac:dyDescent="0.25">
      <c r="A82">
        <v>26</v>
      </c>
      <c r="B82" t="str">
        <f>_xlfn.IFNA(VLOOKUP(A82,$I$2:$J$264,2,0),"")</f>
        <v>Боди и штаны</v>
      </c>
      <c r="I82">
        <f>IF(ISNUMBER(SEARCH(Asosiy!$B$3,J82)),MAX($I$1:I81)+1,0)</f>
        <v>47</v>
      </c>
      <c r="J82" s="17" t="s">
        <v>376</v>
      </c>
      <c r="K82" s="12" t="s">
        <v>354</v>
      </c>
      <c r="L82" s="12" t="s">
        <v>531</v>
      </c>
      <c r="N82" s="13">
        <v>46</v>
      </c>
      <c r="O82" s="14" t="s">
        <v>205</v>
      </c>
    </row>
    <row r="83" spans="1:15" x14ac:dyDescent="0.25">
      <c r="A83">
        <v>27</v>
      </c>
      <c r="B83" t="str">
        <f>_xlfn.IFNA(VLOOKUP(A83,$I$2:$J$264,2,0),"")</f>
        <v>Ветровка и штаны</v>
      </c>
      <c r="I83">
        <f>IF(ISNUMBER(SEARCH(Asosiy!$B$3,J83)),MAX($I$1:I82)+1,0)</f>
        <v>48</v>
      </c>
      <c r="J83" s="17" t="s">
        <v>377</v>
      </c>
      <c r="K83" s="12" t="s">
        <v>354</v>
      </c>
      <c r="L83" s="12" t="s">
        <v>531</v>
      </c>
      <c r="N83" s="13">
        <v>47</v>
      </c>
      <c r="O83" s="14" t="s">
        <v>291</v>
      </c>
    </row>
    <row r="84" spans="1:15" x14ac:dyDescent="0.25">
      <c r="A84">
        <v>28</v>
      </c>
      <c r="B84" t="str">
        <f>_xlfn.IFNA(VLOOKUP(A84,$I$2:$J$264,2,0),"")</f>
        <v>Ветровка и юбка</v>
      </c>
      <c r="I84">
        <f>IF(ISNUMBER(SEARCH(Asosiy!$B$3,J84)),MAX($I$1:I83)+1,0)</f>
        <v>49</v>
      </c>
      <c r="J84" s="17" t="s">
        <v>378</v>
      </c>
      <c r="K84" s="12" t="s">
        <v>354</v>
      </c>
      <c r="L84" s="12" t="s">
        <v>531</v>
      </c>
      <c r="N84" s="13">
        <v>48</v>
      </c>
      <c r="O84" s="14" t="s">
        <v>293</v>
      </c>
    </row>
    <row r="85" spans="1:15" x14ac:dyDescent="0.25">
      <c r="A85">
        <v>29</v>
      </c>
      <c r="B85" t="str">
        <f>_xlfn.IFNA(VLOOKUP(A85,$I$2:$J$264,2,0),"")</f>
        <v>Водолазка и сарафан</v>
      </c>
      <c r="I85">
        <f>IF(ISNUMBER(SEARCH(Asosiy!$B$3,J85)),MAX($I$1:I84)+1,0)</f>
        <v>50</v>
      </c>
      <c r="J85" s="17" t="s">
        <v>379</v>
      </c>
      <c r="K85" s="12" t="s">
        <v>354</v>
      </c>
      <c r="L85" s="12" t="s">
        <v>531</v>
      </c>
      <c r="N85" s="13">
        <v>49</v>
      </c>
      <c r="O85" s="14" t="s">
        <v>195</v>
      </c>
    </row>
    <row r="86" spans="1:15" x14ac:dyDescent="0.25">
      <c r="A86">
        <v>30</v>
      </c>
      <c r="B86" t="str">
        <f>_xlfn.IFNA(VLOOKUP(A86,$I$2:$J$264,2,0),"")</f>
        <v>Двойка</v>
      </c>
      <c r="I86">
        <f>IF(ISNUMBER(SEARCH(Asosiy!$B$3,J86)),MAX($I$1:I85)+1,0)</f>
        <v>51</v>
      </c>
      <c r="J86" s="17" t="s">
        <v>380</v>
      </c>
      <c r="K86" s="12" t="s">
        <v>354</v>
      </c>
      <c r="L86" s="12" t="s">
        <v>531</v>
      </c>
      <c r="N86" s="13">
        <v>50</v>
      </c>
      <c r="O86" s="14" t="s">
        <v>297</v>
      </c>
    </row>
    <row r="87" spans="1:15" x14ac:dyDescent="0.25">
      <c r="A87">
        <v>31</v>
      </c>
      <c r="B87" t="str">
        <f>_xlfn.IFNA(VLOOKUP(A87,$I$2:$J$264,2,0),"")</f>
        <v>Джемпер и брюки</v>
      </c>
      <c r="I87">
        <f>IF(ISNUMBER(SEARCH(Asosiy!$B$3,J87)),MAX($I$1:I86)+1,0)</f>
        <v>52</v>
      </c>
      <c r="J87" s="17" t="s">
        <v>381</v>
      </c>
      <c r="K87" s="12" t="s">
        <v>354</v>
      </c>
      <c r="L87" s="12" t="s">
        <v>531</v>
      </c>
      <c r="N87" s="13">
        <v>51</v>
      </c>
      <c r="O87" s="14" t="s">
        <v>235</v>
      </c>
    </row>
    <row r="88" spans="1:15" x14ac:dyDescent="0.25">
      <c r="A88">
        <v>32</v>
      </c>
      <c r="B88" t="str">
        <f>_xlfn.IFNA(VLOOKUP(A88,$I$2:$J$264,2,0),"")</f>
        <v>Жакет и юбка</v>
      </c>
      <c r="I88">
        <f>IF(ISNUMBER(SEARCH(Asosiy!$B$3,J88)),MAX($I$1:I87)+1,0)</f>
        <v>53</v>
      </c>
      <c r="J88" s="17" t="s">
        <v>382</v>
      </c>
      <c r="K88" s="12" t="s">
        <v>354</v>
      </c>
      <c r="L88" s="12" t="s">
        <v>531</v>
      </c>
      <c r="N88" s="13">
        <v>52</v>
      </c>
      <c r="O88" s="14" t="s">
        <v>299</v>
      </c>
    </row>
    <row r="89" spans="1:15" x14ac:dyDescent="0.25">
      <c r="A89">
        <v>33</v>
      </c>
      <c r="B89" t="str">
        <f>_xlfn.IFNA(VLOOKUP(A89,$I$2:$J$264,2,0),"")</f>
        <v>Жилет и брюки</v>
      </c>
      <c r="I89">
        <f>IF(ISNUMBER(SEARCH(Asosiy!$B$3,J89)),MAX($I$1:I88)+1,0)</f>
        <v>54</v>
      </c>
      <c r="J89" s="17" t="s">
        <v>383</v>
      </c>
      <c r="K89" s="12" t="s">
        <v>354</v>
      </c>
      <c r="L89" s="12" t="s">
        <v>531</v>
      </c>
      <c r="N89" s="13">
        <v>53</v>
      </c>
      <c r="O89" s="14" t="s">
        <v>229</v>
      </c>
    </row>
    <row r="90" spans="1:15" x14ac:dyDescent="0.25">
      <c r="A90">
        <v>34</v>
      </c>
      <c r="B90" t="str">
        <f>_xlfn.IFNA(VLOOKUP(A90,$I$2:$J$264,2,0),"")</f>
        <v>Жилет и юбка</v>
      </c>
      <c r="I90">
        <f>IF(ISNUMBER(SEARCH(Asosiy!$B$3,J90)),MAX($I$1:I89)+1,0)</f>
        <v>55</v>
      </c>
      <c r="J90" s="17" t="s">
        <v>384</v>
      </c>
      <c r="K90" s="12" t="s">
        <v>354</v>
      </c>
      <c r="L90" s="12" t="s">
        <v>531</v>
      </c>
      <c r="N90" s="13">
        <v>55</v>
      </c>
      <c r="O90" s="14" t="s">
        <v>300</v>
      </c>
    </row>
    <row r="91" spans="1:15" x14ac:dyDescent="0.25">
      <c r="A91">
        <v>35</v>
      </c>
      <c r="B91" t="str">
        <f>_xlfn.IFNA(VLOOKUP(A91,$I$2:$J$264,2,0),"")</f>
        <v>Кардиган и туника</v>
      </c>
      <c r="I91">
        <f>IF(ISNUMBER(SEARCH(Asosiy!$B$3,J91)),MAX($I$1:I90)+1,0)</f>
        <v>56</v>
      </c>
      <c r="J91" s="17" t="s">
        <v>385</v>
      </c>
      <c r="K91" s="12" t="s">
        <v>354</v>
      </c>
      <c r="L91" s="12" t="s">
        <v>531</v>
      </c>
    </row>
    <row r="92" spans="1:15" x14ac:dyDescent="0.25">
      <c r="A92">
        <v>36</v>
      </c>
      <c r="B92" t="str">
        <f>_xlfn.IFNA(VLOOKUP(A92,$I$2:$J$264,2,0),"")</f>
        <v>Костюм и жакет</v>
      </c>
      <c r="I92">
        <f>IF(ISNUMBER(SEARCH(Asosiy!$B$3,J92)),MAX($I$1:I91)+1,0)</f>
        <v>57</v>
      </c>
      <c r="J92" s="17" t="s">
        <v>386</v>
      </c>
      <c r="K92" s="12" t="s">
        <v>354</v>
      </c>
      <c r="L92" s="12" t="s">
        <v>531</v>
      </c>
    </row>
    <row r="93" spans="1:15" x14ac:dyDescent="0.25">
      <c r="A93">
        <v>37</v>
      </c>
      <c r="B93" t="str">
        <f>_xlfn.IFNA(VLOOKUP(A93,$I$2:$J$264,2,0),"")</f>
        <v>Костюм и платье</v>
      </c>
      <c r="I93">
        <f>IF(ISNUMBER(SEARCH(Asosiy!$B$3,J93)),MAX($I$1:I92)+1,0)</f>
        <v>58</v>
      </c>
      <c r="J93" s="17" t="s">
        <v>387</v>
      </c>
      <c r="K93" s="12" t="s">
        <v>354</v>
      </c>
      <c r="L93" s="12" t="s">
        <v>531</v>
      </c>
    </row>
    <row r="94" spans="1:15" x14ac:dyDescent="0.25">
      <c r="A94">
        <v>38</v>
      </c>
      <c r="B94" t="str">
        <f>_xlfn.IFNA(VLOOKUP(A94,$I$2:$J$264,2,0),"")</f>
        <v>Костюм и рубашка</v>
      </c>
      <c r="I94">
        <f>IF(ISNUMBER(SEARCH(Asosiy!$B$3,J94)),MAX($I$1:I93)+1,0)</f>
        <v>59</v>
      </c>
      <c r="J94" s="17" t="s">
        <v>388</v>
      </c>
      <c r="K94" s="12" t="s">
        <v>354</v>
      </c>
      <c r="L94" s="12" t="s">
        <v>531</v>
      </c>
    </row>
    <row r="95" spans="1:15" x14ac:dyDescent="0.25">
      <c r="A95">
        <v>39</v>
      </c>
      <c r="B95" t="str">
        <f>_xlfn.IFNA(VLOOKUP(A95,$I$2:$J$264,2,0),"")</f>
        <v>Кофта и брюки</v>
      </c>
      <c r="I95">
        <f>IF(ISNUMBER(SEARCH(Asosiy!$B$3,J95)),MAX($I$1:I94)+1,0)</f>
        <v>60</v>
      </c>
      <c r="J95" s="17" t="s">
        <v>389</v>
      </c>
      <c r="K95" s="12" t="s">
        <v>354</v>
      </c>
      <c r="L95" s="12" t="s">
        <v>531</v>
      </c>
    </row>
    <row r="96" spans="1:15" x14ac:dyDescent="0.25">
      <c r="A96">
        <v>40</v>
      </c>
      <c r="B96" t="str">
        <f>_xlfn.IFNA(VLOOKUP(A96,$I$2:$J$264,2,0),"")</f>
        <v>Кофта и комбинезон</v>
      </c>
      <c r="I96">
        <f>IF(ISNUMBER(SEARCH(Asosiy!$B$3,J96)),MAX($I$1:I95)+1,0)</f>
        <v>61</v>
      </c>
      <c r="J96" s="17" t="s">
        <v>390</v>
      </c>
      <c r="K96" s="12" t="s">
        <v>354</v>
      </c>
      <c r="L96" s="12" t="s">
        <v>531</v>
      </c>
    </row>
    <row r="97" spans="1:12" x14ac:dyDescent="0.25">
      <c r="A97">
        <v>41</v>
      </c>
      <c r="B97" t="str">
        <f>_xlfn.IFNA(VLOOKUP(A97,$I$2:$J$264,2,0),"")</f>
        <v>Кофта и лосины</v>
      </c>
      <c r="I97">
        <f>IF(ISNUMBER(SEARCH(Asosiy!$B$3,J97)),MAX($I$1:I96)+1,0)</f>
        <v>62</v>
      </c>
      <c r="J97" s="17" t="s">
        <v>391</v>
      </c>
      <c r="K97" s="12" t="s">
        <v>354</v>
      </c>
      <c r="L97" s="12" t="s">
        <v>531</v>
      </c>
    </row>
    <row r="98" spans="1:12" x14ac:dyDescent="0.25">
      <c r="A98">
        <v>42</v>
      </c>
      <c r="B98" t="str">
        <f>_xlfn.IFNA(VLOOKUP(A98,$I$2:$J$264,2,0),"")</f>
        <v>Кофта и майка</v>
      </c>
      <c r="I98">
        <f>IF(ISNUMBER(SEARCH(Asosiy!$B$3,J98)),MAX($I$1:I97)+1,0)</f>
        <v>63</v>
      </c>
      <c r="J98" s="17" t="s">
        <v>392</v>
      </c>
      <c r="K98" s="12" t="s">
        <v>354</v>
      </c>
      <c r="L98" s="12" t="s">
        <v>531</v>
      </c>
    </row>
    <row r="99" spans="1:12" x14ac:dyDescent="0.25">
      <c r="A99">
        <v>43</v>
      </c>
      <c r="B99" t="str">
        <f>_xlfn.IFNA(VLOOKUP(A99,$I$2:$J$264,2,0),"")</f>
        <v>Кофта и накидка</v>
      </c>
      <c r="I99">
        <f>IF(ISNUMBER(SEARCH(Asosiy!$B$3,J99)),MAX($I$1:I98)+1,0)</f>
        <v>64</v>
      </c>
      <c r="J99" s="17" t="s">
        <v>393</v>
      </c>
      <c r="K99" s="12" t="s">
        <v>354</v>
      </c>
      <c r="L99" s="12" t="s">
        <v>531</v>
      </c>
    </row>
    <row r="100" spans="1:12" x14ac:dyDescent="0.25">
      <c r="A100">
        <v>44</v>
      </c>
      <c r="B100" t="str">
        <f>_xlfn.IFNA(VLOOKUP(A100,$I$2:$J$264,2,0),"")</f>
        <v>Кофта и ползунки</v>
      </c>
      <c r="I100">
        <f>IF(ISNUMBER(SEARCH(Asosiy!$B$3,J100)),MAX($I$1:I99)+1,0)</f>
        <v>65</v>
      </c>
      <c r="J100" s="17" t="s">
        <v>394</v>
      </c>
      <c r="K100" s="12" t="s">
        <v>354</v>
      </c>
      <c r="L100" s="12" t="s">
        <v>531</v>
      </c>
    </row>
    <row r="101" spans="1:12" x14ac:dyDescent="0.25">
      <c r="A101">
        <v>45</v>
      </c>
      <c r="B101" t="str">
        <f>_xlfn.IFNA(VLOOKUP(A101,$I$2:$J$264,2,0),"")</f>
        <v>Кофта и сарафан</v>
      </c>
      <c r="I101">
        <f>IF(ISNUMBER(SEARCH(Asosiy!$B$3,J101)),MAX($I$1:I100)+1,0)</f>
        <v>66</v>
      </c>
      <c r="J101" s="17" t="s">
        <v>395</v>
      </c>
      <c r="K101" s="12" t="s">
        <v>354</v>
      </c>
      <c r="L101" s="12" t="s">
        <v>531</v>
      </c>
    </row>
    <row r="102" spans="1:12" x14ac:dyDescent="0.25">
      <c r="A102">
        <v>46</v>
      </c>
      <c r="B102" t="str">
        <f>_xlfn.IFNA(VLOOKUP(A102,$I$2:$J$264,2,0),"")</f>
        <v>Кофта и шорты</v>
      </c>
      <c r="I102">
        <f>IF(ISNUMBER(SEARCH(Asosiy!$B$3,J102)),MAX($I$1:I101)+1,0)</f>
        <v>67</v>
      </c>
      <c r="J102" s="17" t="s">
        <v>396</v>
      </c>
      <c r="K102" s="12" t="s">
        <v>354</v>
      </c>
      <c r="L102" s="12" t="s">
        <v>531</v>
      </c>
    </row>
    <row r="103" spans="1:12" x14ac:dyDescent="0.25">
      <c r="A103">
        <v>47</v>
      </c>
      <c r="B103" t="str">
        <f>_xlfn.IFNA(VLOOKUP(A103,$I$2:$J$264,2,0),"")</f>
        <v>Кофта и штаны</v>
      </c>
      <c r="I103">
        <f>IF(ISNUMBER(SEARCH(Asosiy!$B$3,J103)),MAX($I$1:I102)+1,0)</f>
        <v>68</v>
      </c>
      <c r="J103" s="17" t="s">
        <v>397</v>
      </c>
      <c r="K103" s="12" t="s">
        <v>354</v>
      </c>
      <c r="L103" s="12" t="s">
        <v>531</v>
      </c>
    </row>
    <row r="104" spans="1:12" x14ac:dyDescent="0.25">
      <c r="A104">
        <v>48</v>
      </c>
      <c r="B104" t="str">
        <f>_xlfn.IFNA(VLOOKUP(A104,$I$2:$J$264,2,0),"")</f>
        <v>Кофта и юбка</v>
      </c>
      <c r="I104">
        <f>IF(ISNUMBER(SEARCH(Asosiy!$B$3,J104)),MAX($I$1:I103)+1,0)</f>
        <v>69</v>
      </c>
      <c r="J104" s="17" t="s">
        <v>398</v>
      </c>
      <c r="K104" s="12" t="s">
        <v>354</v>
      </c>
      <c r="L104" s="12" t="s">
        <v>531</v>
      </c>
    </row>
    <row r="105" spans="1:12" x14ac:dyDescent="0.25">
      <c r="A105">
        <v>49</v>
      </c>
      <c r="B105" t="str">
        <f>_xlfn.IFNA(VLOOKUP(A105,$I$2:$J$264,2,0),"")</f>
        <v>Куртка и брюки</v>
      </c>
      <c r="I105">
        <f>IF(ISNUMBER(SEARCH(Asosiy!$B$3,J105)),MAX($I$1:I104)+1,0)</f>
        <v>70</v>
      </c>
      <c r="J105" s="17" t="s">
        <v>399</v>
      </c>
      <c r="K105" s="12" t="s">
        <v>354</v>
      </c>
      <c r="L105" s="12" t="s">
        <v>531</v>
      </c>
    </row>
    <row r="106" spans="1:12" x14ac:dyDescent="0.25">
      <c r="A106">
        <v>50</v>
      </c>
      <c r="B106" t="str">
        <f>_xlfn.IFNA(VLOOKUP(A106,$I$2:$J$264,2,0),"")</f>
        <v>Платье и болеро</v>
      </c>
      <c r="I106">
        <f>IF(ISNUMBER(SEARCH(Asosiy!$B$3,J106)),MAX($I$1:I105)+1,0)</f>
        <v>71</v>
      </c>
      <c r="J106" s="17" t="s">
        <v>400</v>
      </c>
      <c r="K106" s="12" t="s">
        <v>354</v>
      </c>
      <c r="L106" s="12" t="s">
        <v>531</v>
      </c>
    </row>
    <row r="107" spans="1:12" x14ac:dyDescent="0.25">
      <c r="I107">
        <f>IF(ISNUMBER(SEARCH(Asosiy!$B$3,J107)),MAX($I$1:I106)+1,0)</f>
        <v>72</v>
      </c>
      <c r="J107" s="17" t="s">
        <v>401</v>
      </c>
      <c r="K107" s="12" t="s">
        <v>354</v>
      </c>
      <c r="L107" s="12" t="s">
        <v>531</v>
      </c>
    </row>
    <row r="108" spans="1:12" x14ac:dyDescent="0.25">
      <c r="I108">
        <f>IF(ISNUMBER(SEARCH(Asosiy!$B$3,J108)),MAX($I$1:I107)+1,0)</f>
        <v>73</v>
      </c>
      <c r="J108" s="17" t="s">
        <v>402</v>
      </c>
      <c r="K108" s="12" t="s">
        <v>354</v>
      </c>
      <c r="L108" s="12" t="s">
        <v>531</v>
      </c>
    </row>
    <row r="109" spans="1:12" x14ac:dyDescent="0.25">
      <c r="I109">
        <f>IF(ISNUMBER(SEARCH(Asosiy!$B$3,J109)),MAX($I$1:I108)+1,0)</f>
        <v>74</v>
      </c>
      <c r="J109" s="17" t="s">
        <v>403</v>
      </c>
      <c r="K109" s="12" t="s">
        <v>354</v>
      </c>
      <c r="L109" s="12" t="s">
        <v>531</v>
      </c>
    </row>
    <row r="110" spans="1:12" x14ac:dyDescent="0.25">
      <c r="I110">
        <f>IF(ISNUMBER(SEARCH(Asosiy!$B$3,J110)),MAX($I$1:I109)+1,0)</f>
        <v>75</v>
      </c>
      <c r="J110" s="17" t="s">
        <v>404</v>
      </c>
      <c r="K110" s="12" t="s">
        <v>354</v>
      </c>
      <c r="L110" s="12" t="s">
        <v>531</v>
      </c>
    </row>
    <row r="111" spans="1:12" x14ac:dyDescent="0.25">
      <c r="I111">
        <f>IF(ISNUMBER(SEARCH(Asosiy!$B$3,J111)),MAX($I$1:I110)+1,0)</f>
        <v>76</v>
      </c>
      <c r="J111" s="17" t="s">
        <v>405</v>
      </c>
      <c r="K111" s="12" t="s">
        <v>354</v>
      </c>
      <c r="L111" s="12" t="s">
        <v>531</v>
      </c>
    </row>
    <row r="112" spans="1:12" x14ac:dyDescent="0.25">
      <c r="I112">
        <f>IF(ISNUMBER(SEARCH(Asosiy!$B$3,J112)),MAX($I$1:I111)+1,0)</f>
        <v>77</v>
      </c>
      <c r="J112" s="17" t="s">
        <v>406</v>
      </c>
      <c r="K112" s="12" t="s">
        <v>354</v>
      </c>
      <c r="L112" s="12" t="s">
        <v>531</v>
      </c>
    </row>
    <row r="113" spans="9:12" x14ac:dyDescent="0.25">
      <c r="I113">
        <f>IF(ISNUMBER(SEARCH(Asosiy!$B$3,J113)),MAX($I$1:I112)+1,0)</f>
        <v>78</v>
      </c>
      <c r="J113" s="17" t="s">
        <v>407</v>
      </c>
      <c r="K113" s="12" t="s">
        <v>354</v>
      </c>
      <c r="L113" s="12" t="s">
        <v>531</v>
      </c>
    </row>
    <row r="114" spans="9:12" x14ac:dyDescent="0.25">
      <c r="I114">
        <f>IF(ISNUMBER(SEARCH(Asosiy!$B$3,J114)),MAX($I$1:I113)+1,0)</f>
        <v>79</v>
      </c>
      <c r="J114" s="17" t="s">
        <v>408</v>
      </c>
      <c r="K114" s="12" t="s">
        <v>354</v>
      </c>
      <c r="L114" s="12" t="s">
        <v>531</v>
      </c>
    </row>
    <row r="115" spans="9:12" x14ac:dyDescent="0.25">
      <c r="I115">
        <f>IF(ISNUMBER(SEARCH(Asosiy!$B$3,J115)),MAX($I$1:I114)+1,0)</f>
        <v>80</v>
      </c>
      <c r="J115" s="17" t="s">
        <v>409</v>
      </c>
      <c r="K115" s="12" t="s">
        <v>354</v>
      </c>
      <c r="L115" s="12" t="s">
        <v>531</v>
      </c>
    </row>
    <row r="116" spans="9:12" x14ac:dyDescent="0.25">
      <c r="I116">
        <f>IF(ISNUMBER(SEARCH(Asosiy!$B$3,J116)),MAX($I$1:I115)+1,0)</f>
        <v>81</v>
      </c>
      <c r="J116" s="17" t="s">
        <v>410</v>
      </c>
      <c r="K116" s="12" t="s">
        <v>354</v>
      </c>
      <c r="L116" s="12" t="s">
        <v>531</v>
      </c>
    </row>
    <row r="117" spans="9:12" x14ac:dyDescent="0.25">
      <c r="I117">
        <f>IF(ISNUMBER(SEARCH(Asosiy!$B$3,J117)),MAX($I$1:I116)+1,0)</f>
        <v>82</v>
      </c>
      <c r="J117" s="17" t="s">
        <v>411</v>
      </c>
      <c r="K117" s="12" t="s">
        <v>354</v>
      </c>
      <c r="L117" s="12" t="s">
        <v>531</v>
      </c>
    </row>
    <row r="118" spans="9:12" x14ac:dyDescent="0.25">
      <c r="I118">
        <f>IF(ISNUMBER(SEARCH(Asosiy!$B$3,J118)),MAX($I$1:I117)+1,0)</f>
        <v>83</v>
      </c>
      <c r="J118" s="17" t="s">
        <v>412</v>
      </c>
      <c r="K118" s="12" t="s">
        <v>354</v>
      </c>
      <c r="L118" s="12" t="s">
        <v>531</v>
      </c>
    </row>
    <row r="119" spans="9:12" x14ac:dyDescent="0.25">
      <c r="I119">
        <f>IF(ISNUMBER(SEARCH(Asosiy!$B$3,J119)),MAX($I$1:I118)+1,0)</f>
        <v>84</v>
      </c>
      <c r="J119" s="17" t="s">
        <v>413</v>
      </c>
      <c r="K119" s="12" t="s">
        <v>354</v>
      </c>
      <c r="L119" s="12" t="s">
        <v>531</v>
      </c>
    </row>
    <row r="120" spans="9:12" x14ac:dyDescent="0.25">
      <c r="I120">
        <f>IF(ISNUMBER(SEARCH(Asosiy!$B$3,J120)),MAX($I$1:I119)+1,0)</f>
        <v>85</v>
      </c>
      <c r="J120" s="17" t="s">
        <v>414</v>
      </c>
      <c r="K120" s="12" t="s">
        <v>415</v>
      </c>
      <c r="L120" s="12" t="s">
        <v>531</v>
      </c>
    </row>
    <row r="121" spans="9:12" x14ac:dyDescent="0.25">
      <c r="I121">
        <f>IF(ISNUMBER(SEARCH(Asosiy!$B$3,J121)),MAX($I$1:I120)+1,0)</f>
        <v>86</v>
      </c>
      <c r="J121" s="17" t="s">
        <v>416</v>
      </c>
      <c r="K121" s="12" t="s">
        <v>415</v>
      </c>
      <c r="L121" s="12" t="s">
        <v>531</v>
      </c>
    </row>
    <row r="122" spans="9:12" x14ac:dyDescent="0.25">
      <c r="I122">
        <f>IF(ISNUMBER(SEARCH(Asosiy!$B$3,J122)),MAX($I$1:I121)+1,0)</f>
        <v>87</v>
      </c>
      <c r="J122" s="17" t="s">
        <v>417</v>
      </c>
      <c r="K122" s="12" t="s">
        <v>415</v>
      </c>
      <c r="L122" s="12" t="s">
        <v>531</v>
      </c>
    </row>
    <row r="123" spans="9:12" x14ac:dyDescent="0.25">
      <c r="I123">
        <f>IF(ISNUMBER(SEARCH(Asosiy!$B$3,J123)),MAX($I$1:I122)+1,0)</f>
        <v>88</v>
      </c>
      <c r="J123" s="17" t="s">
        <v>418</v>
      </c>
      <c r="K123" s="12" t="s">
        <v>415</v>
      </c>
      <c r="L123" s="12" t="s">
        <v>531</v>
      </c>
    </row>
    <row r="124" spans="9:12" x14ac:dyDescent="0.25">
      <c r="I124">
        <f>IF(ISNUMBER(SEARCH(Asosiy!$B$3,J124)),MAX($I$1:I123)+1,0)</f>
        <v>89</v>
      </c>
      <c r="J124" s="17" t="s">
        <v>419</v>
      </c>
      <c r="K124" s="12" t="s">
        <v>415</v>
      </c>
      <c r="L124" s="12" t="s">
        <v>531</v>
      </c>
    </row>
    <row r="125" spans="9:12" x14ac:dyDescent="0.25">
      <c r="I125">
        <f>IF(ISNUMBER(SEARCH(Asosiy!$B$3,J125)),MAX($I$1:I124)+1,0)</f>
        <v>90</v>
      </c>
      <c r="J125" s="17" t="s">
        <v>420</v>
      </c>
      <c r="K125" s="12" t="s">
        <v>415</v>
      </c>
      <c r="L125" s="12" t="s">
        <v>531</v>
      </c>
    </row>
    <row r="126" spans="9:12" x14ac:dyDescent="0.25">
      <c r="I126">
        <f>IF(ISNUMBER(SEARCH(Asosiy!$B$3,J126)),MAX($I$1:I125)+1,0)</f>
        <v>91</v>
      </c>
      <c r="J126" s="17" t="s">
        <v>421</v>
      </c>
      <c r="K126" s="12" t="s">
        <v>415</v>
      </c>
      <c r="L126" s="12" t="s">
        <v>531</v>
      </c>
    </row>
    <row r="127" spans="9:12" x14ac:dyDescent="0.25">
      <c r="I127">
        <f>IF(ISNUMBER(SEARCH(Asosiy!$B$3,J127)),MAX($I$1:I126)+1,0)</f>
        <v>92</v>
      </c>
      <c r="J127" s="17" t="s">
        <v>422</v>
      </c>
      <c r="K127" s="12" t="s">
        <v>415</v>
      </c>
      <c r="L127" s="12" t="s">
        <v>531</v>
      </c>
    </row>
    <row r="128" spans="9:12" x14ac:dyDescent="0.25">
      <c r="I128">
        <f>IF(ISNUMBER(SEARCH(Asosiy!$B$3,J128)),MAX($I$1:I127)+1,0)</f>
        <v>93</v>
      </c>
      <c r="J128" s="17" t="s">
        <v>423</v>
      </c>
      <c r="K128" s="12" t="s">
        <v>415</v>
      </c>
      <c r="L128" s="12" t="s">
        <v>531</v>
      </c>
    </row>
    <row r="129" spans="9:12" x14ac:dyDescent="0.25">
      <c r="I129">
        <f>IF(ISNUMBER(SEARCH(Asosiy!$B$3,J129)),MAX($I$1:I128)+1,0)</f>
        <v>94</v>
      </c>
      <c r="J129" s="17" t="s">
        <v>424</v>
      </c>
      <c r="K129" s="12" t="s">
        <v>415</v>
      </c>
      <c r="L129" s="12" t="s">
        <v>531</v>
      </c>
    </row>
    <row r="130" spans="9:12" x14ac:dyDescent="0.25">
      <c r="I130">
        <f>IF(ISNUMBER(SEARCH(Asosiy!$B$3,J130)),MAX($I$1:I129)+1,0)</f>
        <v>95</v>
      </c>
      <c r="J130" s="17" t="s">
        <v>425</v>
      </c>
      <c r="K130" s="12" t="s">
        <v>415</v>
      </c>
      <c r="L130" s="12" t="s">
        <v>531</v>
      </c>
    </row>
    <row r="131" spans="9:12" x14ac:dyDescent="0.25">
      <c r="I131">
        <f>IF(ISNUMBER(SEARCH(Asosiy!$B$3,J131)),MAX($I$1:I130)+1,0)</f>
        <v>96</v>
      </c>
      <c r="J131" s="17" t="s">
        <v>426</v>
      </c>
      <c r="K131" s="12" t="s">
        <v>415</v>
      </c>
      <c r="L131" s="12" t="s">
        <v>531</v>
      </c>
    </row>
    <row r="132" spans="9:12" x14ac:dyDescent="0.25">
      <c r="I132">
        <f>IF(ISNUMBER(SEARCH(Asosiy!$B$3,J132)),MAX($I$1:I131)+1,0)</f>
        <v>97</v>
      </c>
      <c r="J132" s="17" t="s">
        <v>427</v>
      </c>
      <c r="K132" s="12" t="s">
        <v>415</v>
      </c>
      <c r="L132" s="12" t="s">
        <v>531</v>
      </c>
    </row>
    <row r="133" spans="9:12" x14ac:dyDescent="0.25">
      <c r="I133">
        <f>IF(ISNUMBER(SEARCH(Asosiy!$B$3,J133)),MAX($I$1:I132)+1,0)</f>
        <v>98</v>
      </c>
      <c r="J133" s="17" t="s">
        <v>428</v>
      </c>
      <c r="K133" s="12" t="s">
        <v>415</v>
      </c>
      <c r="L133" s="12" t="s">
        <v>531</v>
      </c>
    </row>
    <row r="134" spans="9:12" x14ac:dyDescent="0.25">
      <c r="I134">
        <f>IF(ISNUMBER(SEARCH(Asosiy!$B$3,J134)),MAX($I$1:I133)+1,0)</f>
        <v>99</v>
      </c>
      <c r="J134" s="17" t="s">
        <v>429</v>
      </c>
      <c r="K134" s="12" t="s">
        <v>415</v>
      </c>
      <c r="L134" s="12" t="s">
        <v>531</v>
      </c>
    </row>
    <row r="135" spans="9:12" x14ac:dyDescent="0.25">
      <c r="I135">
        <f>IF(ISNUMBER(SEARCH(Asosiy!$B$3,J135)),MAX($I$1:I134)+1,0)</f>
        <v>100</v>
      </c>
      <c r="J135" s="17" t="s">
        <v>430</v>
      </c>
      <c r="K135" s="12" t="s">
        <v>415</v>
      </c>
      <c r="L135" s="12" t="s">
        <v>531</v>
      </c>
    </row>
    <row r="136" spans="9:12" x14ac:dyDescent="0.25">
      <c r="I136">
        <f>IF(ISNUMBER(SEARCH(Asosiy!$B$3,J136)),MAX($I$1:I135)+1,0)</f>
        <v>101</v>
      </c>
      <c r="J136" s="17" t="s">
        <v>431</v>
      </c>
      <c r="K136" s="12" t="s">
        <v>415</v>
      </c>
      <c r="L136" s="12" t="s">
        <v>531</v>
      </c>
    </row>
    <row r="137" spans="9:12" x14ac:dyDescent="0.25">
      <c r="I137">
        <f>IF(ISNUMBER(SEARCH(Asosiy!$B$3,J137)),MAX($I$1:I136)+1,0)</f>
        <v>102</v>
      </c>
      <c r="J137" s="17" t="s">
        <v>432</v>
      </c>
      <c r="K137" s="12" t="s">
        <v>415</v>
      </c>
      <c r="L137" s="12" t="s">
        <v>531</v>
      </c>
    </row>
    <row r="138" spans="9:12" x14ac:dyDescent="0.25">
      <c r="I138">
        <f>IF(ISNUMBER(SEARCH(Asosiy!$B$3,J138)),MAX($I$1:I137)+1,0)</f>
        <v>103</v>
      </c>
      <c r="J138" s="17" t="s">
        <v>433</v>
      </c>
      <c r="K138" s="12" t="s">
        <v>415</v>
      </c>
      <c r="L138" s="12" t="s">
        <v>531</v>
      </c>
    </row>
    <row r="139" spans="9:12" x14ac:dyDescent="0.25">
      <c r="I139">
        <f>IF(ISNUMBER(SEARCH(Asosiy!$B$3,J139)),MAX($I$1:I138)+1,0)</f>
        <v>104</v>
      </c>
      <c r="J139" s="17" t="s">
        <v>434</v>
      </c>
      <c r="K139" s="12" t="s">
        <v>415</v>
      </c>
      <c r="L139" s="12" t="s">
        <v>531</v>
      </c>
    </row>
    <row r="140" spans="9:12" x14ac:dyDescent="0.25">
      <c r="I140">
        <f>IF(ISNUMBER(SEARCH(Asosiy!$B$3,J140)),MAX($I$1:I139)+1,0)</f>
        <v>105</v>
      </c>
      <c r="J140" s="17" t="s">
        <v>435</v>
      </c>
      <c r="K140" s="12" t="s">
        <v>415</v>
      </c>
      <c r="L140" s="12" t="s">
        <v>531</v>
      </c>
    </row>
    <row r="141" spans="9:12" x14ac:dyDescent="0.25">
      <c r="I141">
        <f>IF(ISNUMBER(SEARCH(Asosiy!$B$3,J141)),MAX($I$1:I140)+1,0)</f>
        <v>106</v>
      </c>
      <c r="J141" s="17" t="s">
        <v>436</v>
      </c>
      <c r="K141" s="12" t="s">
        <v>415</v>
      </c>
      <c r="L141" s="12" t="s">
        <v>531</v>
      </c>
    </row>
    <row r="142" spans="9:12" x14ac:dyDescent="0.25">
      <c r="I142">
        <f>IF(ISNUMBER(SEARCH(Asosiy!$B$3,J142)),MAX($I$1:I141)+1,0)</f>
        <v>107</v>
      </c>
      <c r="J142" s="17" t="s">
        <v>437</v>
      </c>
      <c r="K142" s="12" t="s">
        <v>415</v>
      </c>
      <c r="L142" s="12" t="s">
        <v>531</v>
      </c>
    </row>
    <row r="143" spans="9:12" x14ac:dyDescent="0.25">
      <c r="I143">
        <f>IF(ISNUMBER(SEARCH(Asosiy!$B$3,J143)),MAX($I$1:I142)+1,0)</f>
        <v>108</v>
      </c>
      <c r="J143" s="17" t="s">
        <v>438</v>
      </c>
      <c r="K143" s="12" t="s">
        <v>415</v>
      </c>
      <c r="L143" s="12" t="s">
        <v>531</v>
      </c>
    </row>
    <row r="144" spans="9:12" x14ac:dyDescent="0.25">
      <c r="I144">
        <f>IF(ISNUMBER(SEARCH(Asosiy!$B$3,J144)),MAX($I$1:I143)+1,0)</f>
        <v>109</v>
      </c>
      <c r="J144" s="17" t="s">
        <v>439</v>
      </c>
      <c r="K144" s="12" t="s">
        <v>415</v>
      </c>
      <c r="L144" s="12" t="s">
        <v>531</v>
      </c>
    </row>
    <row r="145" spans="9:12" x14ac:dyDescent="0.25">
      <c r="I145">
        <f>IF(ISNUMBER(SEARCH(Asosiy!$B$3,J145)),MAX($I$1:I144)+1,0)</f>
        <v>110</v>
      </c>
      <c r="J145" s="17" t="s">
        <v>440</v>
      </c>
      <c r="K145" s="12" t="s">
        <v>415</v>
      </c>
      <c r="L145" s="12" t="s">
        <v>531</v>
      </c>
    </row>
    <row r="146" spans="9:12" x14ac:dyDescent="0.25">
      <c r="I146">
        <f>IF(ISNUMBER(SEARCH(Asosiy!$B$3,J146)),MAX($I$1:I145)+1,0)</f>
        <v>111</v>
      </c>
      <c r="J146" s="17" t="s">
        <v>441</v>
      </c>
      <c r="K146" s="12" t="s">
        <v>415</v>
      </c>
      <c r="L146" s="12" t="s">
        <v>531</v>
      </c>
    </row>
    <row r="147" spans="9:12" x14ac:dyDescent="0.25">
      <c r="I147">
        <f>IF(ISNUMBER(SEARCH(Asosiy!$B$3,J147)),MAX($I$1:I146)+1,0)</f>
        <v>112</v>
      </c>
      <c r="J147" s="17" t="s">
        <v>442</v>
      </c>
      <c r="K147" s="12" t="s">
        <v>415</v>
      </c>
      <c r="L147" s="12" t="s">
        <v>531</v>
      </c>
    </row>
    <row r="148" spans="9:12" x14ac:dyDescent="0.25">
      <c r="I148">
        <f>IF(ISNUMBER(SEARCH(Asosiy!$B$3,J148)),MAX($I$1:I147)+1,0)</f>
        <v>113</v>
      </c>
      <c r="J148" s="17" t="s">
        <v>443</v>
      </c>
      <c r="K148" s="12" t="s">
        <v>415</v>
      </c>
      <c r="L148" s="12" t="s">
        <v>531</v>
      </c>
    </row>
    <row r="149" spans="9:12" x14ac:dyDescent="0.25">
      <c r="I149">
        <f>IF(ISNUMBER(SEARCH(Asosiy!$B$3,J149)),MAX($I$1:I148)+1,0)</f>
        <v>114</v>
      </c>
      <c r="J149" s="17" t="s">
        <v>444</v>
      </c>
      <c r="K149" s="12" t="s">
        <v>415</v>
      </c>
      <c r="L149" s="12" t="s">
        <v>531</v>
      </c>
    </row>
    <row r="150" spans="9:12" x14ac:dyDescent="0.25">
      <c r="I150">
        <f>IF(ISNUMBER(SEARCH(Asosiy!$B$3,J150)),MAX($I$1:I149)+1,0)</f>
        <v>115</v>
      </c>
      <c r="J150" s="17" t="s">
        <v>445</v>
      </c>
      <c r="K150" s="12" t="s">
        <v>415</v>
      </c>
      <c r="L150" s="12" t="s">
        <v>531</v>
      </c>
    </row>
    <row r="151" spans="9:12" x14ac:dyDescent="0.25">
      <c r="I151">
        <f>IF(ISNUMBER(SEARCH(Asosiy!$B$3,J151)),MAX($I$1:I150)+1,0)</f>
        <v>116</v>
      </c>
      <c r="J151" s="17" t="s">
        <v>446</v>
      </c>
      <c r="K151" s="12" t="s">
        <v>415</v>
      </c>
      <c r="L151" s="12" t="s">
        <v>531</v>
      </c>
    </row>
    <row r="152" spans="9:12" x14ac:dyDescent="0.25">
      <c r="I152">
        <f>IF(ISNUMBER(SEARCH(Asosiy!$B$3,J152)),MAX($I$1:I151)+1,0)</f>
        <v>117</v>
      </c>
      <c r="J152" s="17" t="s">
        <v>447</v>
      </c>
      <c r="K152" s="12" t="s">
        <v>415</v>
      </c>
      <c r="L152" s="12" t="s">
        <v>531</v>
      </c>
    </row>
    <row r="153" spans="9:12" x14ac:dyDescent="0.25">
      <c r="I153">
        <f>IF(ISNUMBER(SEARCH(Asosiy!$B$3,J153)),MAX($I$1:I152)+1,0)</f>
        <v>118</v>
      </c>
      <c r="J153" s="17" t="s">
        <v>448</v>
      </c>
      <c r="K153" s="12" t="s">
        <v>415</v>
      </c>
      <c r="L153" s="12" t="s">
        <v>531</v>
      </c>
    </row>
    <row r="154" spans="9:12" x14ac:dyDescent="0.25">
      <c r="I154">
        <f>IF(ISNUMBER(SEARCH(Asosiy!$B$3,J154)),MAX($I$1:I153)+1,0)</f>
        <v>119</v>
      </c>
      <c r="J154" s="17" t="s">
        <v>449</v>
      </c>
      <c r="K154" s="12" t="s">
        <v>415</v>
      </c>
      <c r="L154" s="12" t="s">
        <v>531</v>
      </c>
    </row>
    <row r="155" spans="9:12" x14ac:dyDescent="0.25">
      <c r="I155">
        <f>IF(ISNUMBER(SEARCH(Asosiy!$B$3,J155)),MAX($I$1:I154)+1,0)</f>
        <v>120</v>
      </c>
      <c r="J155" s="17" t="s">
        <v>450</v>
      </c>
      <c r="K155" s="12" t="s">
        <v>415</v>
      </c>
      <c r="L155" s="12" t="s">
        <v>531</v>
      </c>
    </row>
    <row r="156" spans="9:12" x14ac:dyDescent="0.25">
      <c r="I156">
        <f>IF(ISNUMBER(SEARCH(Asosiy!$B$3,J156)),MAX($I$1:I155)+1,0)</f>
        <v>121</v>
      </c>
      <c r="J156" s="17" t="s">
        <v>451</v>
      </c>
      <c r="K156" s="12" t="s">
        <v>415</v>
      </c>
      <c r="L156" s="12" t="s">
        <v>531</v>
      </c>
    </row>
    <row r="157" spans="9:12" x14ac:dyDescent="0.25">
      <c r="I157">
        <f>IF(ISNUMBER(SEARCH(Asosiy!$B$3,J157)),MAX($I$1:I156)+1,0)</f>
        <v>122</v>
      </c>
      <c r="J157" s="17" t="s">
        <v>452</v>
      </c>
      <c r="K157" s="12" t="s">
        <v>415</v>
      </c>
      <c r="L157" s="12" t="s">
        <v>531</v>
      </c>
    </row>
    <row r="158" spans="9:12" x14ac:dyDescent="0.25">
      <c r="I158">
        <f>IF(ISNUMBER(SEARCH(Asosiy!$B$3,J158)),MAX($I$1:I157)+1,0)</f>
        <v>123</v>
      </c>
      <c r="J158" s="17" t="s">
        <v>453</v>
      </c>
      <c r="K158" s="12" t="s">
        <v>415</v>
      </c>
      <c r="L158" s="12" t="s">
        <v>531</v>
      </c>
    </row>
    <row r="159" spans="9:12" x14ac:dyDescent="0.25">
      <c r="I159">
        <f>IF(ISNUMBER(SEARCH(Asosiy!$B$3,J159)),MAX($I$1:I158)+1,0)</f>
        <v>124</v>
      </c>
      <c r="J159" s="17" t="s">
        <v>455</v>
      </c>
      <c r="K159" s="12" t="s">
        <v>454</v>
      </c>
      <c r="L159" s="12" t="s">
        <v>531</v>
      </c>
    </row>
    <row r="160" spans="9:12" x14ac:dyDescent="0.25">
      <c r="I160">
        <f>IF(ISNUMBER(SEARCH(Asosiy!$B$3,J160)),MAX($I$1:I159)+1,0)</f>
        <v>125</v>
      </c>
      <c r="J160" s="17" t="s">
        <v>456</v>
      </c>
      <c r="K160" s="12" t="s">
        <v>454</v>
      </c>
      <c r="L160" s="12" t="s">
        <v>531</v>
      </c>
    </row>
    <row r="161" spans="9:12" x14ac:dyDescent="0.25">
      <c r="I161">
        <f>IF(ISNUMBER(SEARCH(Asosiy!$B$3,J161)),MAX($I$1:I160)+1,0)</f>
        <v>126</v>
      </c>
      <c r="J161" s="17" t="s">
        <v>457</v>
      </c>
      <c r="K161" s="12" t="s">
        <v>454</v>
      </c>
      <c r="L161" s="12" t="s">
        <v>531</v>
      </c>
    </row>
    <row r="162" spans="9:12" x14ac:dyDescent="0.25">
      <c r="I162">
        <f>IF(ISNUMBER(SEARCH(Asosiy!$B$3,J162)),MAX($I$1:I161)+1,0)</f>
        <v>127</v>
      </c>
      <c r="J162" s="17" t="s">
        <v>458</v>
      </c>
      <c r="K162" s="12" t="s">
        <v>459</v>
      </c>
      <c r="L162" s="12" t="s">
        <v>531</v>
      </c>
    </row>
    <row r="163" spans="9:12" x14ac:dyDescent="0.25">
      <c r="I163">
        <f>IF(ISNUMBER(SEARCH(Asosiy!$B$3,J163)),MAX($I$1:I162)+1,0)</f>
        <v>128</v>
      </c>
      <c r="J163" s="17" t="s">
        <v>460</v>
      </c>
      <c r="K163" s="12" t="s">
        <v>459</v>
      </c>
      <c r="L163" s="12" t="s">
        <v>531</v>
      </c>
    </row>
    <row r="164" spans="9:12" x14ac:dyDescent="0.25">
      <c r="I164">
        <f>IF(ISNUMBER(SEARCH(Asosiy!$B$3,J164)),MAX($I$1:I163)+1,0)</f>
        <v>129</v>
      </c>
      <c r="J164" s="17" t="s">
        <v>524</v>
      </c>
      <c r="K164" s="12" t="s">
        <v>459</v>
      </c>
      <c r="L164" s="12" t="s">
        <v>531</v>
      </c>
    </row>
    <row r="165" spans="9:12" x14ac:dyDescent="0.25">
      <c r="I165">
        <f>IF(ISNUMBER(SEARCH(Asosiy!$B$3,J165)),MAX($I$1:I164)+1,0)</f>
        <v>130</v>
      </c>
      <c r="J165" s="17" t="s">
        <v>525</v>
      </c>
      <c r="K165" s="12" t="s">
        <v>459</v>
      </c>
      <c r="L165" s="12" t="s">
        <v>531</v>
      </c>
    </row>
    <row r="166" spans="9:12" x14ac:dyDescent="0.25">
      <c r="I166">
        <f>IF(ISNUMBER(SEARCH(Asosiy!$B$3,J166)),MAX($I$1:I165)+1,0)</f>
        <v>131</v>
      </c>
      <c r="J166" s="17" t="s">
        <v>337</v>
      </c>
      <c r="K166" s="12" t="s">
        <v>338</v>
      </c>
      <c r="L166" s="12" t="s">
        <v>86</v>
      </c>
    </row>
    <row r="167" spans="9:12" x14ac:dyDescent="0.25">
      <c r="I167">
        <f>IF(ISNUMBER(SEARCH(Asosiy!$B$3,J167)),MAX($I$1:I166)+1,0)</f>
        <v>132</v>
      </c>
      <c r="J167" s="17" t="s">
        <v>339</v>
      </c>
      <c r="K167" s="12" t="s">
        <v>338</v>
      </c>
      <c r="L167" s="12" t="s">
        <v>86</v>
      </c>
    </row>
    <row r="168" spans="9:12" x14ac:dyDescent="0.25">
      <c r="I168">
        <f>IF(ISNUMBER(SEARCH(Asosiy!$B$3,J168)),MAX($I$1:I167)+1,0)</f>
        <v>133</v>
      </c>
      <c r="J168" s="17" t="s">
        <v>340</v>
      </c>
      <c r="K168" s="12" t="s">
        <v>338</v>
      </c>
      <c r="L168" s="12" t="s">
        <v>86</v>
      </c>
    </row>
    <row r="169" spans="9:12" x14ac:dyDescent="0.25">
      <c r="I169">
        <f>IF(ISNUMBER(SEARCH(Asosiy!$B$3,J169)),MAX($I$1:I168)+1,0)</f>
        <v>134</v>
      </c>
      <c r="J169" s="17" t="s">
        <v>341</v>
      </c>
      <c r="K169" s="43" t="s">
        <v>338</v>
      </c>
      <c r="L169" s="12" t="s">
        <v>86</v>
      </c>
    </row>
    <row r="170" spans="9:12" x14ac:dyDescent="0.25">
      <c r="I170">
        <f>IF(ISNUMBER(SEARCH(Asosiy!$B$3,J170)),MAX($I$1:I169)+1,0)</f>
        <v>135</v>
      </c>
      <c r="J170" s="44" t="s">
        <v>342</v>
      </c>
      <c r="K170" s="43" t="s">
        <v>338</v>
      </c>
      <c r="L170" s="12" t="s">
        <v>86</v>
      </c>
    </row>
    <row r="171" spans="9:12" x14ac:dyDescent="0.25">
      <c r="I171">
        <f>IF(ISNUMBER(SEARCH(Asosiy!$B$3,J171)),MAX($I$1:I170)+1,0)</f>
        <v>136</v>
      </c>
      <c r="J171" s="17" t="s">
        <v>343</v>
      </c>
      <c r="K171" s="43" t="s">
        <v>338</v>
      </c>
      <c r="L171" s="12" t="s">
        <v>86</v>
      </c>
    </row>
    <row r="172" spans="9:12" x14ac:dyDescent="0.25">
      <c r="I172">
        <f>IF(ISNUMBER(SEARCH(Asosiy!$B$3,J172)),MAX($I$1:I171)+1,0)</f>
        <v>137</v>
      </c>
      <c r="J172" s="17" t="s">
        <v>344</v>
      </c>
      <c r="K172" s="43" t="s">
        <v>338</v>
      </c>
      <c r="L172" s="12" t="s">
        <v>86</v>
      </c>
    </row>
    <row r="173" spans="9:12" x14ac:dyDescent="0.25">
      <c r="I173">
        <f>IF(ISNUMBER(SEARCH(Asosiy!$B$3,J173)),MAX($I$1:I172)+1,0)</f>
        <v>138</v>
      </c>
      <c r="J173" s="17" t="s">
        <v>345</v>
      </c>
      <c r="K173" s="12" t="s">
        <v>338</v>
      </c>
      <c r="L173" s="12" t="s">
        <v>86</v>
      </c>
    </row>
    <row r="174" spans="9:12" x14ac:dyDescent="0.25">
      <c r="I174">
        <f>IF(ISNUMBER(SEARCH(Asosiy!$B$3,J174)),MAX($I$1:I173)+1,0)</f>
        <v>139</v>
      </c>
      <c r="J174" s="17" t="s">
        <v>346</v>
      </c>
      <c r="K174" s="12" t="s">
        <v>338</v>
      </c>
      <c r="L174" s="12" t="s">
        <v>86</v>
      </c>
    </row>
    <row r="175" spans="9:12" x14ac:dyDescent="0.25">
      <c r="I175">
        <f>IF(ISNUMBER(SEARCH(Asosiy!$B$3,J175)),MAX($I$1:I174)+1,0)</f>
        <v>140</v>
      </c>
      <c r="J175" s="17" t="s">
        <v>522</v>
      </c>
      <c r="K175" s="43" t="s">
        <v>338</v>
      </c>
      <c r="L175" s="12" t="s">
        <v>86</v>
      </c>
    </row>
    <row r="176" spans="9:12" x14ac:dyDescent="0.25">
      <c r="I176">
        <f>IF(ISNUMBER(SEARCH(Asosiy!$B$3,J176)),MAX($I$1:I175)+1,0)</f>
        <v>141</v>
      </c>
      <c r="J176" s="17" t="s">
        <v>523</v>
      </c>
      <c r="K176" s="43" t="s">
        <v>338</v>
      </c>
      <c r="L176" s="12" t="s">
        <v>86</v>
      </c>
    </row>
    <row r="177" spans="9:12" x14ac:dyDescent="0.25">
      <c r="I177">
        <f>IF(ISNUMBER(SEARCH(Asosiy!$B$3,J177)),MAX($I$1:I176)+1,0)</f>
        <v>142</v>
      </c>
      <c r="J177" s="17" t="s">
        <v>347</v>
      </c>
      <c r="K177" s="43" t="s">
        <v>338</v>
      </c>
      <c r="L177" s="12" t="s">
        <v>86</v>
      </c>
    </row>
    <row r="178" spans="9:12" x14ac:dyDescent="0.25">
      <c r="I178">
        <f>IF(ISNUMBER(SEARCH(Asosiy!$B$3,J178)),MAX($I$1:I177)+1,0)</f>
        <v>143</v>
      </c>
      <c r="J178" s="17" t="s">
        <v>349</v>
      </c>
      <c r="K178" s="43" t="s">
        <v>348</v>
      </c>
      <c r="L178" s="12" t="s">
        <v>86</v>
      </c>
    </row>
    <row r="179" spans="9:12" x14ac:dyDescent="0.25">
      <c r="I179">
        <f>IF(ISNUMBER(SEARCH(Asosiy!$B$3,J179)),MAX($I$1:I178)+1,0)</f>
        <v>144</v>
      </c>
      <c r="J179" s="44" t="s">
        <v>348</v>
      </c>
      <c r="K179" s="43" t="s">
        <v>348</v>
      </c>
      <c r="L179" s="43" t="s">
        <v>86</v>
      </c>
    </row>
    <row r="180" spans="9:12" x14ac:dyDescent="0.25">
      <c r="I180">
        <f>IF(ISNUMBER(SEARCH(Asosiy!$B$3,J180)),MAX($I$1:I179)+1,0)</f>
        <v>145</v>
      </c>
      <c r="J180" s="17" t="s">
        <v>350</v>
      </c>
      <c r="K180" s="12" t="s">
        <v>351</v>
      </c>
      <c r="L180" s="12" t="s">
        <v>86</v>
      </c>
    </row>
    <row r="181" spans="9:12" x14ac:dyDescent="0.25">
      <c r="I181">
        <f>IF(ISNUMBER(SEARCH(Asosiy!$B$3,J181)),MAX($I$1:I180)+1,0)</f>
        <v>146</v>
      </c>
      <c r="J181" s="17" t="s">
        <v>352</v>
      </c>
      <c r="K181" s="12" t="s">
        <v>351</v>
      </c>
      <c r="L181" s="12" t="s">
        <v>86</v>
      </c>
    </row>
    <row r="182" spans="9:12" x14ac:dyDescent="0.25">
      <c r="I182">
        <f>IF(ISNUMBER(SEARCH(Asosiy!$B$3,J182)),MAX($I$1:I181)+1,0)</f>
        <v>147</v>
      </c>
      <c r="J182" s="17" t="s">
        <v>301</v>
      </c>
      <c r="K182" s="12" t="s">
        <v>302</v>
      </c>
      <c r="L182" s="12" t="s">
        <v>70</v>
      </c>
    </row>
    <row r="183" spans="9:12" x14ac:dyDescent="0.25">
      <c r="I183">
        <f>IF(ISNUMBER(SEARCH(Asosiy!$B$3,J183)),MAX($I$1:I182)+1,0)</f>
        <v>148</v>
      </c>
      <c r="J183" s="17" t="s">
        <v>303</v>
      </c>
      <c r="K183" s="12" t="s">
        <v>302</v>
      </c>
      <c r="L183" s="12" t="s">
        <v>70</v>
      </c>
    </row>
    <row r="184" spans="9:12" x14ac:dyDescent="0.25">
      <c r="I184">
        <f>IF(ISNUMBER(SEARCH(Asosiy!$B$3,J184)),MAX($I$1:I183)+1,0)</f>
        <v>149</v>
      </c>
      <c r="J184" s="17" t="s">
        <v>518</v>
      </c>
      <c r="K184" s="12" t="s">
        <v>302</v>
      </c>
      <c r="L184" s="12" t="s">
        <v>70</v>
      </c>
    </row>
    <row r="185" spans="9:12" x14ac:dyDescent="0.25">
      <c r="I185">
        <f>IF(ISNUMBER(SEARCH(Asosiy!$B$3,J185)),MAX($I$1:I184)+1,0)</f>
        <v>150</v>
      </c>
      <c r="J185" s="17" t="s">
        <v>304</v>
      </c>
      <c r="K185" s="12" t="s">
        <v>302</v>
      </c>
      <c r="L185" s="12" t="s">
        <v>70</v>
      </c>
    </row>
    <row r="186" spans="9:12" x14ac:dyDescent="0.25">
      <c r="I186">
        <f>IF(ISNUMBER(SEARCH(Asosiy!$B$3,J186)),MAX($I$1:I185)+1,0)</f>
        <v>151</v>
      </c>
      <c r="J186" s="17" t="s">
        <v>488</v>
      </c>
      <c r="K186" s="12" t="s">
        <v>302</v>
      </c>
      <c r="L186" s="12" t="s">
        <v>70</v>
      </c>
    </row>
    <row r="187" spans="9:12" x14ac:dyDescent="0.25">
      <c r="I187">
        <f>IF(ISNUMBER(SEARCH(Asosiy!$B$3,J187)),MAX($I$1:I186)+1,0)</f>
        <v>152</v>
      </c>
      <c r="J187" s="17" t="s">
        <v>305</v>
      </c>
      <c r="K187" s="12" t="s">
        <v>302</v>
      </c>
      <c r="L187" s="12" t="s">
        <v>70</v>
      </c>
    </row>
    <row r="188" spans="9:12" x14ac:dyDescent="0.25">
      <c r="I188">
        <f>IF(ISNUMBER(SEARCH(Asosiy!$B$3,J188)),MAX($I$1:I187)+1,0)</f>
        <v>153</v>
      </c>
      <c r="J188" s="17" t="s">
        <v>306</v>
      </c>
      <c r="K188" s="12" t="s">
        <v>307</v>
      </c>
      <c r="L188" s="12" t="s">
        <v>70</v>
      </c>
    </row>
    <row r="189" spans="9:12" x14ac:dyDescent="0.25">
      <c r="I189">
        <f>IF(ISNUMBER(SEARCH(Asosiy!$B$3,J189)),MAX($I$1:I188)+1,0)</f>
        <v>154</v>
      </c>
      <c r="J189" s="17" t="s">
        <v>308</v>
      </c>
      <c r="K189" s="12" t="s">
        <v>307</v>
      </c>
      <c r="L189" s="12" t="s">
        <v>70</v>
      </c>
    </row>
    <row r="190" spans="9:12" x14ac:dyDescent="0.25">
      <c r="I190">
        <f>IF(ISNUMBER(SEARCH(Asosiy!$B$3,J190)),MAX($I$1:I189)+1,0)</f>
        <v>155</v>
      </c>
      <c r="J190" s="17" t="s">
        <v>309</v>
      </c>
      <c r="K190" s="12" t="s">
        <v>307</v>
      </c>
      <c r="L190" s="12" t="s">
        <v>70</v>
      </c>
    </row>
    <row r="191" spans="9:12" x14ac:dyDescent="0.25">
      <c r="I191">
        <f>IF(ISNUMBER(SEARCH(Asosiy!$B$3,J191)),MAX($I$1:I190)+1,0)</f>
        <v>156</v>
      </c>
      <c r="J191" s="11" t="s">
        <v>310</v>
      </c>
      <c r="K191" s="12" t="s">
        <v>311</v>
      </c>
      <c r="L191" s="12" t="s">
        <v>70</v>
      </c>
    </row>
    <row r="192" spans="9:12" x14ac:dyDescent="0.25">
      <c r="I192">
        <f>IF(ISNUMBER(SEARCH(Asosiy!$B$3,J192)),MAX($I$1:I191)+1,0)</f>
        <v>157</v>
      </c>
      <c r="J192" s="11" t="s">
        <v>312</v>
      </c>
      <c r="K192" s="12" t="s">
        <v>311</v>
      </c>
      <c r="L192" s="12" t="s">
        <v>70</v>
      </c>
    </row>
    <row r="193" spans="9:12" x14ac:dyDescent="0.25">
      <c r="I193">
        <f>IF(ISNUMBER(SEARCH(Asosiy!$B$3,J193)),MAX($I$1:I192)+1,0)</f>
        <v>158</v>
      </c>
      <c r="J193" s="17" t="s">
        <v>313</v>
      </c>
      <c r="K193" s="12" t="s">
        <v>311</v>
      </c>
      <c r="L193" s="12" t="s">
        <v>70</v>
      </c>
    </row>
    <row r="194" spans="9:12" x14ac:dyDescent="0.25">
      <c r="I194">
        <f>IF(ISNUMBER(SEARCH(Asosiy!$B$3,J194)),MAX($I$1:I193)+1,0)</f>
        <v>159</v>
      </c>
      <c r="J194" s="17" t="s">
        <v>311</v>
      </c>
      <c r="K194" s="12" t="s">
        <v>311</v>
      </c>
      <c r="L194" s="12" t="s">
        <v>70</v>
      </c>
    </row>
    <row r="195" spans="9:12" x14ac:dyDescent="0.25">
      <c r="I195">
        <f>IF(ISNUMBER(SEARCH(Asosiy!$B$3,J195)),MAX($I$1:I194)+1,0)</f>
        <v>160</v>
      </c>
      <c r="J195" t="s">
        <v>314</v>
      </c>
      <c r="K195" t="s">
        <v>311</v>
      </c>
      <c r="L195" t="s">
        <v>70</v>
      </c>
    </row>
    <row r="196" spans="9:12" x14ac:dyDescent="0.25">
      <c r="I196">
        <f>IF(ISNUMBER(SEARCH(Asosiy!$B$3,J196)),MAX($I$1:I195)+1,0)</f>
        <v>161</v>
      </c>
      <c r="J196" t="s">
        <v>315</v>
      </c>
      <c r="K196" t="s">
        <v>316</v>
      </c>
      <c r="L196" t="s">
        <v>70</v>
      </c>
    </row>
    <row r="197" spans="9:12" x14ac:dyDescent="0.25">
      <c r="I197">
        <f>IF(ISNUMBER(SEARCH(Asosiy!$B$3,J197)),MAX($I$1:I196)+1,0)</f>
        <v>162</v>
      </c>
      <c r="J197" t="s">
        <v>317</v>
      </c>
      <c r="K197" t="s">
        <v>316</v>
      </c>
      <c r="L197" t="s">
        <v>70</v>
      </c>
    </row>
    <row r="198" spans="9:12" x14ac:dyDescent="0.25">
      <c r="I198">
        <f>IF(ISNUMBER(SEARCH(Asosiy!$B$3,J198)),MAX($I$1:I197)+1,0)</f>
        <v>163</v>
      </c>
      <c r="J198" t="s">
        <v>318</v>
      </c>
      <c r="K198" t="s">
        <v>316</v>
      </c>
      <c r="L198" t="s">
        <v>70</v>
      </c>
    </row>
    <row r="199" spans="9:12" x14ac:dyDescent="0.25">
      <c r="I199">
        <f>IF(ISNUMBER(SEARCH(Asosiy!$B$3,J199)),MAX($I$1:I198)+1,0)</f>
        <v>164</v>
      </c>
      <c r="J199" t="s">
        <v>319</v>
      </c>
      <c r="K199" t="s">
        <v>316</v>
      </c>
      <c r="L199" t="s">
        <v>70</v>
      </c>
    </row>
    <row r="200" spans="9:12" x14ac:dyDescent="0.25">
      <c r="I200">
        <f>IF(ISNUMBER(SEARCH(Asosiy!$B$3,J200)),MAX($I$1:I199)+1,0)</f>
        <v>165</v>
      </c>
      <c r="J200" t="s">
        <v>320</v>
      </c>
      <c r="K200" t="s">
        <v>316</v>
      </c>
      <c r="L200" t="s">
        <v>70</v>
      </c>
    </row>
    <row r="201" spans="9:12" x14ac:dyDescent="0.25">
      <c r="I201">
        <f>IF(ISNUMBER(SEARCH(Asosiy!$B$3,J201)),MAX($I$1:I200)+1,0)</f>
        <v>166</v>
      </c>
      <c r="J201" t="s">
        <v>519</v>
      </c>
      <c r="K201" t="s">
        <v>316</v>
      </c>
      <c r="L201" t="s">
        <v>70</v>
      </c>
    </row>
    <row r="202" spans="9:12" x14ac:dyDescent="0.25">
      <c r="I202">
        <f>IF(ISNUMBER(SEARCH(Asosiy!$B$3,J202)),MAX($I$1:I201)+1,0)</f>
        <v>167</v>
      </c>
      <c r="J202" t="s">
        <v>321</v>
      </c>
      <c r="K202" t="s">
        <v>316</v>
      </c>
      <c r="L202" t="s">
        <v>70</v>
      </c>
    </row>
    <row r="203" spans="9:12" x14ac:dyDescent="0.25">
      <c r="I203">
        <f>IF(ISNUMBER(SEARCH(Asosiy!$B$3,J203)),MAX($I$1:I202)+1,0)</f>
        <v>168</v>
      </c>
      <c r="J203" t="s">
        <v>520</v>
      </c>
      <c r="K203" t="s">
        <v>316</v>
      </c>
      <c r="L203" t="s">
        <v>70</v>
      </c>
    </row>
    <row r="204" spans="9:12" x14ac:dyDescent="0.25">
      <c r="I204">
        <f>IF(ISNUMBER(SEARCH(Asosiy!$B$3,J204)),MAX($I$1:I203)+1,0)</f>
        <v>169</v>
      </c>
      <c r="J204" t="s">
        <v>521</v>
      </c>
      <c r="K204" t="s">
        <v>316</v>
      </c>
      <c r="L204" t="s">
        <v>70</v>
      </c>
    </row>
    <row r="205" spans="9:12" x14ac:dyDescent="0.25">
      <c r="I205">
        <f>IF(ISNUMBER(SEARCH(Asosiy!$B$3,J205)),MAX($I$1:I204)+1,0)</f>
        <v>170</v>
      </c>
      <c r="J205" s="97" t="s">
        <v>325</v>
      </c>
      <c r="K205" s="97" t="s">
        <v>326</v>
      </c>
      <c r="L205" t="s">
        <v>70</v>
      </c>
    </row>
    <row r="206" spans="9:12" x14ac:dyDescent="0.25">
      <c r="I206">
        <f>IF(ISNUMBER(SEARCH(Asosiy!$B$3,J206)),MAX($I$1:I205)+1,0)</f>
        <v>171</v>
      </c>
      <c r="J206" t="s">
        <v>327</v>
      </c>
      <c r="K206" s="97" t="s">
        <v>326</v>
      </c>
      <c r="L206" t="s">
        <v>70</v>
      </c>
    </row>
    <row r="207" spans="9:12" x14ac:dyDescent="0.25">
      <c r="I207">
        <f>IF(ISNUMBER(SEARCH(Asosiy!$B$3,J207)),MAX($I$1:I206)+1,0)</f>
        <v>172</v>
      </c>
      <c r="J207" t="s">
        <v>328</v>
      </c>
      <c r="K207" s="97" t="s">
        <v>326</v>
      </c>
      <c r="L207" t="s">
        <v>70</v>
      </c>
    </row>
    <row r="208" spans="9:12" x14ac:dyDescent="0.25">
      <c r="I208">
        <f>IF(ISNUMBER(SEARCH(Asosiy!$B$3,J208)),MAX($I$1:I207)+1,0)</f>
        <v>173</v>
      </c>
      <c r="J208" t="s">
        <v>329</v>
      </c>
      <c r="K208" s="97" t="s">
        <v>326</v>
      </c>
      <c r="L208" t="s">
        <v>70</v>
      </c>
    </row>
    <row r="209" spans="9:12" x14ac:dyDescent="0.25">
      <c r="I209">
        <f>IF(ISNUMBER(SEARCH(Asosiy!$B$3,J209)),MAX($I$1:I208)+1,0)</f>
        <v>174</v>
      </c>
      <c r="J209" t="s">
        <v>330</v>
      </c>
      <c r="K209" s="97" t="s">
        <v>326</v>
      </c>
      <c r="L209" t="s">
        <v>70</v>
      </c>
    </row>
    <row r="210" spans="9:12" x14ac:dyDescent="0.25">
      <c r="I210">
        <f>IF(ISNUMBER(SEARCH(Asosiy!$B$3,J210)),MAX($I$1:I209)+1,0)</f>
        <v>175</v>
      </c>
      <c r="J210" t="s">
        <v>331</v>
      </c>
      <c r="K210" t="s">
        <v>326</v>
      </c>
      <c r="L210" t="s">
        <v>70</v>
      </c>
    </row>
    <row r="211" spans="9:12" x14ac:dyDescent="0.25">
      <c r="I211">
        <f>IF(ISNUMBER(SEARCH(Asosiy!$B$3,J211)),MAX($I$1:I210)+1,0)</f>
        <v>176</v>
      </c>
      <c r="J211" t="s">
        <v>332</v>
      </c>
      <c r="K211" t="s">
        <v>326</v>
      </c>
      <c r="L211" t="s">
        <v>70</v>
      </c>
    </row>
    <row r="212" spans="9:12" x14ac:dyDescent="0.25">
      <c r="I212">
        <f>IF(ISNUMBER(SEARCH(Asosiy!$B$3,J212)),MAX($I$1:I211)+1,0)</f>
        <v>177</v>
      </c>
      <c r="J212" t="s">
        <v>333</v>
      </c>
      <c r="K212" t="s">
        <v>326</v>
      </c>
      <c r="L212" t="s">
        <v>70</v>
      </c>
    </row>
    <row r="213" spans="9:12" x14ac:dyDescent="0.25">
      <c r="I213">
        <f>IF(ISNUMBER(SEARCH(Asosiy!$B$3,J213)),MAX($I$1:I212)+1,0)</f>
        <v>178</v>
      </c>
      <c r="J213" t="s">
        <v>334</v>
      </c>
      <c r="K213" t="s">
        <v>326</v>
      </c>
      <c r="L213" t="s">
        <v>70</v>
      </c>
    </row>
    <row r="214" spans="9:12" x14ac:dyDescent="0.25">
      <c r="I214">
        <f>IF(ISNUMBER(SEARCH(Asosiy!$B$3,J214)),MAX($I$1:I213)+1,0)</f>
        <v>179</v>
      </c>
      <c r="J214" t="s">
        <v>335</v>
      </c>
      <c r="K214" t="s">
        <v>326</v>
      </c>
      <c r="L214" t="s">
        <v>70</v>
      </c>
    </row>
    <row r="215" spans="9:12" x14ac:dyDescent="0.25">
      <c r="I215">
        <f>IF(ISNUMBER(SEARCH(Asosiy!$B$3,J215)),MAX($I$1:I214)+1,0)</f>
        <v>180</v>
      </c>
      <c r="J215" t="s">
        <v>336</v>
      </c>
      <c r="K215" t="s">
        <v>326</v>
      </c>
      <c r="L215" t="s">
        <v>70</v>
      </c>
    </row>
    <row r="216" spans="9:12" x14ac:dyDescent="0.25">
      <c r="I216">
        <f>IF(ISNUMBER(SEARCH(Asosiy!$B$3,J216)),MAX($I$1:I215)+1,0)</f>
        <v>181</v>
      </c>
      <c r="J216" t="s">
        <v>322</v>
      </c>
      <c r="K216" t="s">
        <v>323</v>
      </c>
      <c r="L216" t="s">
        <v>70</v>
      </c>
    </row>
    <row r="217" spans="9:12" x14ac:dyDescent="0.25">
      <c r="I217">
        <f>IF(ISNUMBER(SEARCH(Asosiy!$B$3,J217)),MAX($I$1:I216)+1,0)</f>
        <v>182</v>
      </c>
      <c r="J217" t="s">
        <v>324</v>
      </c>
      <c r="K217" t="s">
        <v>323</v>
      </c>
      <c r="L217" t="s">
        <v>70</v>
      </c>
    </row>
    <row r="218" spans="9:12" x14ac:dyDescent="0.25">
      <c r="I218">
        <f>IF(ISNUMBER(SEARCH(Asosiy!$B$3,J218)),MAX($I$1:I217)+1,0)</f>
        <v>183</v>
      </c>
      <c r="J218" t="s">
        <v>277</v>
      </c>
      <c r="K218" t="s">
        <v>278</v>
      </c>
      <c r="L218" t="s">
        <v>40</v>
      </c>
    </row>
    <row r="219" spans="9:12" x14ac:dyDescent="0.25">
      <c r="I219">
        <f>IF(ISNUMBER(SEARCH(Asosiy!$B$3,J219)),MAX($I$1:I218)+1,0)</f>
        <v>184</v>
      </c>
      <c r="J219" t="s">
        <v>280</v>
      </c>
      <c r="K219" t="s">
        <v>278</v>
      </c>
      <c r="L219" t="s">
        <v>40</v>
      </c>
    </row>
    <row r="220" spans="9:12" x14ac:dyDescent="0.25">
      <c r="I220">
        <f>IF(ISNUMBER(SEARCH(Asosiy!$B$3,J220)),MAX($I$1:I219)+1,0)</f>
        <v>185</v>
      </c>
      <c r="J220" s="98" t="s">
        <v>282</v>
      </c>
      <c r="K220" t="s">
        <v>282</v>
      </c>
      <c r="L220" t="s">
        <v>40</v>
      </c>
    </row>
    <row r="221" spans="9:12" x14ac:dyDescent="0.25">
      <c r="I221">
        <f>IF(ISNUMBER(SEARCH(Asosiy!$B$3,J221)),MAX($I$1:I220)+1,0)</f>
        <v>186</v>
      </c>
      <c r="J221" t="s">
        <v>283</v>
      </c>
      <c r="K221" t="s">
        <v>284</v>
      </c>
      <c r="L221" t="s">
        <v>40</v>
      </c>
    </row>
    <row r="222" spans="9:12" x14ac:dyDescent="0.25">
      <c r="I222">
        <f>IF(ISNUMBER(SEARCH(Asosiy!$B$3,J222)),MAX($I$1:I221)+1,0)</f>
        <v>187</v>
      </c>
      <c r="J222" t="s">
        <v>286</v>
      </c>
      <c r="K222" t="s">
        <v>284</v>
      </c>
      <c r="L222" t="s">
        <v>40</v>
      </c>
    </row>
    <row r="223" spans="9:12" x14ac:dyDescent="0.25">
      <c r="I223">
        <f>IF(ISNUMBER(SEARCH(Asosiy!$B$3,J223)),MAX($I$1:I222)+1,0)</f>
        <v>188</v>
      </c>
      <c r="J223" t="s">
        <v>287</v>
      </c>
      <c r="K223" t="s">
        <v>284</v>
      </c>
      <c r="L223" t="s">
        <v>40</v>
      </c>
    </row>
    <row r="224" spans="9:12" x14ac:dyDescent="0.25">
      <c r="I224">
        <f>IF(ISNUMBER(SEARCH(Asosiy!$B$3,J224)),MAX($I$1:I223)+1,0)</f>
        <v>189</v>
      </c>
      <c r="J224" t="s">
        <v>288</v>
      </c>
      <c r="K224" t="s">
        <v>284</v>
      </c>
      <c r="L224" t="s">
        <v>40</v>
      </c>
    </row>
    <row r="225" spans="9:12" x14ac:dyDescent="0.25">
      <c r="I225">
        <f>IF(ISNUMBER(SEARCH(Asosiy!$B$3,J225)),MAX($I$1:I224)+1,0)</f>
        <v>190</v>
      </c>
      <c r="J225" t="s">
        <v>289</v>
      </c>
      <c r="K225" s="99" t="s">
        <v>290</v>
      </c>
      <c r="L225" t="s">
        <v>40</v>
      </c>
    </row>
    <row r="226" spans="9:12" x14ac:dyDescent="0.25">
      <c r="I226">
        <f>IF(ISNUMBER(SEARCH(Asosiy!$B$3,J226)),MAX($I$1:I225)+1,0)</f>
        <v>191</v>
      </c>
      <c r="J226" t="s">
        <v>292</v>
      </c>
      <c r="K226" t="s">
        <v>290</v>
      </c>
      <c r="L226" t="s">
        <v>40</v>
      </c>
    </row>
    <row r="227" spans="9:12" x14ac:dyDescent="0.25">
      <c r="I227">
        <f>IF(ISNUMBER(SEARCH(Asosiy!$B$3,J227)),MAX($I$1:I226)+1,0)</f>
        <v>192</v>
      </c>
      <c r="J227" t="s">
        <v>294</v>
      </c>
      <c r="K227" t="s">
        <v>290</v>
      </c>
      <c r="L227" t="s">
        <v>40</v>
      </c>
    </row>
    <row r="228" spans="9:12" x14ac:dyDescent="0.25">
      <c r="I228">
        <f>IF(ISNUMBER(SEARCH(Asosiy!$B$3,J228)),MAX($I$1:I227)+1,0)</f>
        <v>193</v>
      </c>
      <c r="J228" t="s">
        <v>517</v>
      </c>
      <c r="K228" t="s">
        <v>290</v>
      </c>
      <c r="L228" t="s">
        <v>40</v>
      </c>
    </row>
    <row r="229" spans="9:12" x14ac:dyDescent="0.25">
      <c r="I229">
        <f>IF(ISNUMBER(SEARCH(Asosiy!$B$3,J229)),MAX($I$1:I228)+1,0)</f>
        <v>194</v>
      </c>
      <c r="J229" t="s">
        <v>295</v>
      </c>
      <c r="K229" t="s">
        <v>296</v>
      </c>
      <c r="L229" t="s">
        <v>40</v>
      </c>
    </row>
    <row r="230" spans="9:12" x14ac:dyDescent="0.25">
      <c r="I230">
        <f>IF(ISNUMBER(SEARCH(Asosiy!$B$3,J230)),MAX($I$1:I229)+1,0)</f>
        <v>195</v>
      </c>
      <c r="J230" t="s">
        <v>298</v>
      </c>
      <c r="K230" t="s">
        <v>296</v>
      </c>
      <c r="L230" t="s">
        <v>40</v>
      </c>
    </row>
    <row r="231" spans="9:12" x14ac:dyDescent="0.25">
      <c r="I231">
        <f>IF(ISNUMBER(SEARCH(Asosiy!$B$3,J231)),MAX($I$1:I230)+1,0)</f>
        <v>196</v>
      </c>
      <c r="J231" t="s">
        <v>81</v>
      </c>
      <c r="K231" t="s">
        <v>82</v>
      </c>
      <c r="L231" t="s">
        <v>22</v>
      </c>
    </row>
    <row r="232" spans="9:12" x14ac:dyDescent="0.25">
      <c r="I232">
        <f>IF(ISNUMBER(SEARCH(Asosiy!$B$3,J232)),MAX($I$1:I231)+1,0)</f>
        <v>197</v>
      </c>
      <c r="J232" t="s">
        <v>94</v>
      </c>
      <c r="K232" t="s">
        <v>82</v>
      </c>
      <c r="L232" t="s">
        <v>22</v>
      </c>
    </row>
    <row r="233" spans="9:12" x14ac:dyDescent="0.25">
      <c r="I233">
        <f>IF(ISNUMBER(SEARCH(Asosiy!$B$3,J233)),MAX($I$1:I232)+1,0)</f>
        <v>198</v>
      </c>
      <c r="J233" t="s">
        <v>105</v>
      </c>
      <c r="K233" t="s">
        <v>82</v>
      </c>
      <c r="L233" t="s">
        <v>22</v>
      </c>
    </row>
    <row r="234" spans="9:12" x14ac:dyDescent="0.25">
      <c r="I234">
        <f>IF(ISNUMBER(SEARCH(Asosiy!$B$3,J234)),MAX($I$1:I233)+1,0)</f>
        <v>199</v>
      </c>
      <c r="J234" t="s">
        <v>116</v>
      </c>
      <c r="K234" t="s">
        <v>82</v>
      </c>
      <c r="L234" t="s">
        <v>22</v>
      </c>
    </row>
    <row r="235" spans="9:12" x14ac:dyDescent="0.25">
      <c r="I235">
        <f>IF(ISNUMBER(SEARCH(Asosiy!$B$3,J235)),MAX($I$1:I234)+1,0)</f>
        <v>200</v>
      </c>
      <c r="J235" t="s">
        <v>128</v>
      </c>
      <c r="K235" t="s">
        <v>82</v>
      </c>
      <c r="L235" t="s">
        <v>22</v>
      </c>
    </row>
    <row r="236" spans="9:12" x14ac:dyDescent="0.25">
      <c r="I236">
        <f>IF(ISNUMBER(SEARCH(Asosiy!$B$3,J236)),MAX($I$1:I235)+1,0)</f>
        <v>201</v>
      </c>
      <c r="J236" t="s">
        <v>137</v>
      </c>
      <c r="K236" t="s">
        <v>82</v>
      </c>
      <c r="L236" t="s">
        <v>22</v>
      </c>
    </row>
    <row r="237" spans="9:12" x14ac:dyDescent="0.25">
      <c r="I237">
        <f>IF(ISNUMBER(SEARCH(Asosiy!$B$3,J237)),MAX($I$1:I236)+1,0)</f>
        <v>202</v>
      </c>
      <c r="J237" t="s">
        <v>147</v>
      </c>
      <c r="K237" t="s">
        <v>82</v>
      </c>
      <c r="L237" t="s">
        <v>22</v>
      </c>
    </row>
    <row r="238" spans="9:12" x14ac:dyDescent="0.25">
      <c r="I238">
        <f>IF(ISNUMBER(SEARCH(Asosiy!$B$3,J238)),MAX($I$1:I237)+1,0)</f>
        <v>203</v>
      </c>
      <c r="J238" t="s">
        <v>156</v>
      </c>
      <c r="K238" t="s">
        <v>82</v>
      </c>
      <c r="L238" t="s">
        <v>22</v>
      </c>
    </row>
    <row r="239" spans="9:12" x14ac:dyDescent="0.25">
      <c r="I239">
        <f>IF(ISNUMBER(SEARCH(Asosiy!$B$3,J239)),MAX($I$1:I238)+1,0)</f>
        <v>204</v>
      </c>
      <c r="J239" t="s">
        <v>166</v>
      </c>
      <c r="K239" t="s">
        <v>82</v>
      </c>
      <c r="L239" t="s">
        <v>22</v>
      </c>
    </row>
    <row r="240" spans="9:12" x14ac:dyDescent="0.25">
      <c r="I240">
        <f>IF(ISNUMBER(SEARCH(Asosiy!$B$3,J240)),MAX($I$1:I239)+1,0)</f>
        <v>205</v>
      </c>
      <c r="J240" t="s">
        <v>174</v>
      </c>
      <c r="K240" t="s">
        <v>82</v>
      </c>
      <c r="L240" t="s">
        <v>22</v>
      </c>
    </row>
    <row r="241" spans="9:12" x14ac:dyDescent="0.25">
      <c r="I241">
        <f>IF(ISNUMBER(SEARCH(Asosiy!$B$3,J241)),MAX($I$1:I240)+1,0)</f>
        <v>206</v>
      </c>
      <c r="J241" t="s">
        <v>183</v>
      </c>
      <c r="K241" t="s">
        <v>82</v>
      </c>
      <c r="L241" t="s">
        <v>22</v>
      </c>
    </row>
    <row r="242" spans="9:12" x14ac:dyDescent="0.25">
      <c r="I242">
        <f>IF(ISNUMBER(SEARCH(Asosiy!$B$3,J242)),MAX($I$1:I241)+1,0)</f>
        <v>207</v>
      </c>
      <c r="J242" t="s">
        <v>506</v>
      </c>
      <c r="K242" t="s">
        <v>82</v>
      </c>
      <c r="L242" t="s">
        <v>22</v>
      </c>
    </row>
    <row r="243" spans="9:12" x14ac:dyDescent="0.25">
      <c r="I243">
        <f>IF(ISNUMBER(SEARCH(Asosiy!$B$3,J243)),MAX($I$1:I242)+1,0)</f>
        <v>208</v>
      </c>
      <c r="J243" s="98" t="s">
        <v>507</v>
      </c>
      <c r="K243" t="s">
        <v>82</v>
      </c>
      <c r="L243" t="s">
        <v>22</v>
      </c>
    </row>
    <row r="244" spans="9:12" x14ac:dyDescent="0.25">
      <c r="I244">
        <f>IF(ISNUMBER(SEARCH(Asosiy!$B$3,J244)),MAX($I$1:I243)+1,0)</f>
        <v>209</v>
      </c>
      <c r="J244" s="98" t="s">
        <v>508</v>
      </c>
      <c r="K244" t="s">
        <v>82</v>
      </c>
      <c r="L244" t="s">
        <v>22</v>
      </c>
    </row>
    <row r="245" spans="9:12" x14ac:dyDescent="0.25">
      <c r="I245">
        <f>IF(ISNUMBER(SEARCH(Asosiy!$B$3,J245)),MAX($I$1:I244)+1,0)</f>
        <v>210</v>
      </c>
      <c r="J245" t="s">
        <v>226</v>
      </c>
      <c r="K245" t="s">
        <v>226</v>
      </c>
      <c r="L245" t="s">
        <v>22</v>
      </c>
    </row>
    <row r="246" spans="9:12" x14ac:dyDescent="0.25">
      <c r="I246">
        <f>IF(ISNUMBER(SEARCH(Asosiy!$B$3,J246)),MAX($I$1:I245)+1,0)</f>
        <v>211</v>
      </c>
      <c r="J246" t="s">
        <v>233</v>
      </c>
      <c r="K246" t="s">
        <v>226</v>
      </c>
      <c r="L246" t="s">
        <v>22</v>
      </c>
    </row>
    <row r="247" spans="9:12" x14ac:dyDescent="0.25">
      <c r="I247">
        <f>IF(ISNUMBER(SEARCH(Asosiy!$B$3,J247)),MAX($I$1:I246)+1,0)</f>
        <v>212</v>
      </c>
      <c r="J247" t="s">
        <v>239</v>
      </c>
      <c r="K247" t="s">
        <v>226</v>
      </c>
      <c r="L247" t="s">
        <v>22</v>
      </c>
    </row>
    <row r="248" spans="9:12" x14ac:dyDescent="0.25">
      <c r="I248">
        <f>IF(ISNUMBER(SEARCH(Asosiy!$B$3,J248)),MAX($I$1:I247)+1,0)</f>
        <v>213</v>
      </c>
      <c r="J248" t="s">
        <v>252</v>
      </c>
      <c r="K248" t="s">
        <v>253</v>
      </c>
      <c r="L248" t="s">
        <v>22</v>
      </c>
    </row>
    <row r="249" spans="9:12" x14ac:dyDescent="0.25">
      <c r="I249">
        <f>IF(ISNUMBER(SEARCH(Asosiy!$B$3,J249)),MAX($I$1:I248)+1,0)</f>
        <v>214</v>
      </c>
      <c r="J249" t="s">
        <v>256</v>
      </c>
      <c r="K249" t="s">
        <v>253</v>
      </c>
      <c r="L249" t="s">
        <v>22</v>
      </c>
    </row>
    <row r="250" spans="9:12" x14ac:dyDescent="0.25">
      <c r="I250">
        <f>IF(ISNUMBER(SEARCH(Asosiy!$B$3,J250)),MAX($I$1:I249)+1,0)</f>
        <v>215</v>
      </c>
      <c r="J250" t="s">
        <v>259</v>
      </c>
      <c r="K250" t="s">
        <v>253</v>
      </c>
      <c r="L250" t="s">
        <v>22</v>
      </c>
    </row>
    <row r="251" spans="9:12" x14ac:dyDescent="0.25">
      <c r="I251">
        <f>IF(ISNUMBER(SEARCH(Asosiy!$B$3,J251)),MAX($I$1:I250)+1,0)</f>
        <v>216</v>
      </c>
      <c r="J251" t="s">
        <v>261</v>
      </c>
      <c r="K251" t="s">
        <v>253</v>
      </c>
      <c r="L251" t="s">
        <v>22</v>
      </c>
    </row>
    <row r="252" spans="9:12" x14ac:dyDescent="0.25">
      <c r="I252">
        <f>IF(ISNUMBER(SEARCH(Asosiy!$B$3,J252)),MAX($I$1:I251)+1,0)</f>
        <v>217</v>
      </c>
      <c r="J252" t="s">
        <v>264</v>
      </c>
      <c r="K252" t="s">
        <v>265</v>
      </c>
      <c r="L252" t="s">
        <v>22</v>
      </c>
    </row>
    <row r="253" spans="9:12" x14ac:dyDescent="0.25">
      <c r="I253">
        <f>IF(ISNUMBER(SEARCH(Asosiy!$B$3,J253)),MAX($I$1:I252)+1,0)</f>
        <v>218</v>
      </c>
      <c r="J253" t="s">
        <v>509</v>
      </c>
      <c r="K253" t="s">
        <v>265</v>
      </c>
      <c r="L253" t="s">
        <v>22</v>
      </c>
    </row>
    <row r="254" spans="9:12" x14ac:dyDescent="0.25">
      <c r="I254">
        <f>IF(ISNUMBER(SEARCH(Asosiy!$B$3,J254)),MAX($I$1:I253)+1,0)</f>
        <v>219</v>
      </c>
      <c r="J254" t="s">
        <v>270</v>
      </c>
      <c r="K254" t="s">
        <v>265</v>
      </c>
      <c r="L254" t="s">
        <v>22</v>
      </c>
    </row>
    <row r="255" spans="9:12" x14ac:dyDescent="0.25">
      <c r="I255">
        <f>IF(ISNUMBER(SEARCH(Asosiy!$B$3,J255)),MAX($I$1:I254)+1,0)</f>
        <v>220</v>
      </c>
      <c r="J255" t="s">
        <v>273</v>
      </c>
      <c r="K255" t="s">
        <v>265</v>
      </c>
      <c r="L255" t="s">
        <v>22</v>
      </c>
    </row>
    <row r="256" spans="9:12" x14ac:dyDescent="0.25">
      <c r="I256">
        <f>IF(ISNUMBER(SEARCH(Asosiy!$B$3,J256)),MAX($I$1:I255)+1,0)</f>
        <v>221</v>
      </c>
      <c r="J256" t="s">
        <v>274</v>
      </c>
      <c r="K256" t="s">
        <v>265</v>
      </c>
      <c r="L256" t="s">
        <v>22</v>
      </c>
    </row>
    <row r="257" spans="9:12" x14ac:dyDescent="0.25">
      <c r="I257">
        <f>IF(ISNUMBER(SEARCH(Asosiy!$B$3,J257)),MAX($I$1:I256)+1,0)</f>
        <v>222</v>
      </c>
      <c r="J257" t="s">
        <v>276</v>
      </c>
      <c r="K257" t="s">
        <v>265</v>
      </c>
      <c r="L257" t="s">
        <v>22</v>
      </c>
    </row>
    <row r="258" spans="9:12" x14ac:dyDescent="0.25">
      <c r="I258">
        <f>IF(ISNUMBER(SEARCH(Asosiy!$B$3,J258)),MAX($I$1:I257)+1,0)</f>
        <v>223</v>
      </c>
      <c r="J258" t="s">
        <v>510</v>
      </c>
      <c r="K258" t="s">
        <v>265</v>
      </c>
      <c r="L258" t="s">
        <v>22</v>
      </c>
    </row>
    <row r="259" spans="9:12" x14ac:dyDescent="0.25">
      <c r="I259">
        <f>IF(ISNUMBER(SEARCH(Asosiy!$B$3,J259)),MAX($I$1:I258)+1,0)</f>
        <v>224</v>
      </c>
      <c r="J259" t="s">
        <v>511</v>
      </c>
      <c r="K259" t="s">
        <v>265</v>
      </c>
      <c r="L259" t="s">
        <v>22</v>
      </c>
    </row>
    <row r="260" spans="9:12" x14ac:dyDescent="0.25">
      <c r="I260">
        <f>IF(ISNUMBER(SEARCH(Asosiy!$B$3,J260)),MAX($I$1:I259)+1,0)</f>
        <v>225</v>
      </c>
      <c r="J260" t="s">
        <v>268</v>
      </c>
      <c r="K260" t="s">
        <v>265</v>
      </c>
      <c r="L260" t="s">
        <v>22</v>
      </c>
    </row>
    <row r="261" spans="9:12" x14ac:dyDescent="0.25">
      <c r="I261">
        <f>IF(ISNUMBER(SEARCH(Asosiy!$B$3,J261)),MAX($I$1:I260)+1,0)</f>
        <v>226</v>
      </c>
      <c r="J261" t="s">
        <v>512</v>
      </c>
      <c r="K261" t="s">
        <v>265</v>
      </c>
      <c r="L261" t="s">
        <v>22</v>
      </c>
    </row>
    <row r="262" spans="9:12" x14ac:dyDescent="0.25">
      <c r="I262">
        <f>IF(ISNUMBER(SEARCH(Asosiy!$B$3,J262)),MAX($I$1:I261)+1,0)</f>
        <v>227</v>
      </c>
      <c r="J262" t="s">
        <v>513</v>
      </c>
      <c r="K262" t="s">
        <v>514</v>
      </c>
      <c r="L262" t="s">
        <v>22</v>
      </c>
    </row>
    <row r="263" spans="9:12" x14ac:dyDescent="0.25">
      <c r="I263">
        <f>IF(ISNUMBER(SEARCH(Asosiy!$B$3,J263)),MAX($I$1:I262)+1,0)</f>
        <v>228</v>
      </c>
      <c r="J263" t="s">
        <v>515</v>
      </c>
      <c r="K263" t="s">
        <v>514</v>
      </c>
      <c r="L263" t="s">
        <v>22</v>
      </c>
    </row>
    <row r="264" spans="9:12" x14ac:dyDescent="0.25">
      <c r="I264">
        <f>IF(ISNUMBER(SEARCH(Asosiy!$B$3,J264)),MAX($I$1:I263)+1,0)</f>
        <v>229</v>
      </c>
      <c r="J264" t="s">
        <v>516</v>
      </c>
      <c r="K264" t="s">
        <v>514</v>
      </c>
      <c r="L264" t="s">
        <v>22</v>
      </c>
    </row>
  </sheetData>
  <autoFilter ref="I1:L264" xr:uid="{8FF2299F-B230-4C4E-B308-FC4A47F31E47}">
    <sortState xmlns:xlrd2="http://schemas.microsoft.com/office/spreadsheetml/2017/richdata2" ref="I2:L264">
      <sortCondition descending="1" ref="L1:L264"/>
    </sortState>
  </autoFilter>
  <conditionalFormatting sqref="I2:I264">
    <cfRule type="cellIs" dxfId="21" priority="30" operator="greaterThan">
      <formula>0</formula>
    </cfRule>
  </conditionalFormatting>
  <conditionalFormatting sqref="J68:J124 J2:J66">
    <cfRule type="duplicateValues" dxfId="20" priority="36"/>
    <cfRule type="duplicateValues" dxfId="19" priority="58"/>
    <cfRule type="duplicateValues" dxfId="18" priority="59"/>
  </conditionalFormatting>
  <conditionalFormatting sqref="J93:J124">
    <cfRule type="duplicateValues" dxfId="17" priority="38"/>
  </conditionalFormatting>
  <conditionalFormatting sqref="J94:J124">
    <cfRule type="duplicateValues" dxfId="16" priority="39"/>
  </conditionalFormatting>
  <conditionalFormatting sqref="J125:J131">
    <cfRule type="duplicateValues" dxfId="15" priority="49"/>
    <cfRule type="duplicateValues" dxfId="14" priority="50"/>
    <cfRule type="duplicateValues" dxfId="13" priority="51"/>
    <cfRule type="duplicateValues" dxfId="12" priority="52"/>
    <cfRule type="duplicateValues" dxfId="11" priority="53"/>
  </conditionalFormatting>
  <conditionalFormatting sqref="J132:J141 J145:J152">
    <cfRule type="duplicateValues" dxfId="10" priority="7"/>
  </conditionalFormatting>
  <conditionalFormatting sqref="J132:J152">
    <cfRule type="duplicateValues" dxfId="9" priority="8"/>
    <cfRule type="duplicateValues" dxfId="8" priority="9"/>
    <cfRule type="duplicateValues" dxfId="7" priority="10"/>
    <cfRule type="duplicateValues" dxfId="6" priority="11"/>
  </conditionalFormatting>
  <conditionalFormatting sqref="J142">
    <cfRule type="duplicateValues" dxfId="5" priority="6"/>
  </conditionalFormatting>
  <conditionalFormatting sqref="J143:J144">
    <cfRule type="duplicateValues" dxfId="4" priority="5"/>
  </conditionalFormatting>
  <conditionalFormatting sqref="J184:J194 J153:J182">
    <cfRule type="duplicateValues" dxfId="3" priority="2"/>
    <cfRule type="duplicateValues" dxfId="2" priority="3"/>
    <cfRule type="duplicateValues" dxfId="1" priority="4"/>
  </conditionalFormatting>
  <conditionalFormatting sqref="AA2:AA60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E5910-9F14-457F-AEB5-6C5DAA66C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Asosiy</vt:lpstr>
      <vt:lpstr>Tayyor</vt:lpstr>
      <vt:lpstr>Ruyxat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2026-07-01T07:10:41Z</dcterms:created>
  <dcterms:modified xsi:type="dcterms:W3CDTF">2026-09-13T14:51:29Z</dcterms:modified>
</cp:coreProperties>
</file>